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f2e459943a49e5" /></Relationships>
</file>

<file path=xl/workbook.xml><?xml version="1.0" encoding="utf-8"?>
<x:workbook xmlns:x="http://schemas.openxmlformats.org/spreadsheetml/2006/main">
  <x:sheets>
    <x:sheet xmlns:r="http://schemas.openxmlformats.org/officeDocument/2006/relationships" name="Summary" sheetId="1" r:id="Rb14e29a57ddf4711"/>
    <x:sheet xmlns:r="http://schemas.openxmlformats.org/officeDocument/2006/relationships" name="Monthly Plan" sheetId="2" r:id="R0b0f3cc7f512440a"/>
    <x:sheet xmlns:r="http://schemas.openxmlformats.org/officeDocument/2006/relationships" name="Transactions" sheetId="3" r:id="Rf10157874c0141ce"/>
    <x:sheet xmlns:r="http://schemas.openxmlformats.org/officeDocument/2006/relationships" name="Approval Rules" sheetId="4" r:id="R5852c9c01352465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Red]($#,##0);-"/>
    <x:numFmt numFmtId="201" formatCode="0.0%;[Red](0.0%);-"/>
    <x:numFmt numFmtId="202" formatCode="$#,##0.00;[Red]($#,##0.00);-"/>
    <x:numFmt numFmtId="203" formatCode="yyyy-mm-dd"/>
  </x:numFmts>
  <x:fonts count="10">
    <x:font>
      <x:sz val="11"/>
      <x:name val="Carlito"/>
    </x:font>
    <x:font>
      <x:b/>
      <x:sz val="18"/>
      <x:color rgb="FFFFFFFF"/>
      <x:name val="Carlito"/>
    </x:font>
    <x:font>
      <x:i/>
      <x:sz val="10"/>
      <x:color rgb="FF5F6B76"/>
      <x:name val="Carlito"/>
    </x:font>
    <x:font>
      <x:sz val="11"/>
      <x:color rgb="FF17212B"/>
      <x:name val="Carlito"/>
    </x:font>
    <x:font>
      <x:b/>
      <x:sz val="11"/>
      <x:color rgb="FF17212B"/>
      <x:name val="Carlito"/>
    </x:font>
    <x:font>
      <x:b/>
      <x:sz val="11"/>
      <x:color rgb="FFFFFFFF"/>
      <x:name val="Carlito"/>
    </x:font>
    <x:font>
      <x:b/>
      <x:sz val="10"/>
      <x:color rgb="FF17212B"/>
      <x:name val="Aptos"/>
    </x:font>
    <x:font>
      <x:sz val="10"/>
      <x:color rgb="FF17212B"/>
      <x:name val="Aptos"/>
    </x:font>
    <x:font>
      <x:i/>
      <x:sz val="10"/>
      <x:color rgb="FF17212B"/>
      <x:name val="Aptos"/>
    </x:font>
    <x:font>
      <x:b/>
      <x:sz val="18"/>
      <x:color rgb="FFFFFFFF"/>
      <x:name val="Aptos Display"/>
    </x:font>
  </x:fonts>
  <x:fills count="5">
    <x:fill>
      <x:patternFill patternType="none"/>
    </x:fill>
    <x:fill>
      <x:patternFill patternType="gray125"/>
    </x:fill>
    <x:fill>
      <x:patternFill patternType="solid">
        <x:fgColor rgb="FF1F4D78"/>
      </x:patternFill>
    </x:fill>
    <x:fill>
      <x:patternFill patternType="solid">
        <x:fgColor rgb="FFE8EEF5"/>
      </x:patternFill>
    </x:fill>
    <x:fill>
      <x:patternFill patternType="solid">
        <x:fgColor rgb="FFF7F9FB"/>
      </x:patternFill>
    </x:fill>
  </x:fills>
  <x:borders count="1">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3" borderId="0"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4" fillId="3" borderId="0" xfId="0" applyNumberFormat="1" applyFont="1" applyFill="1" applyBorder="1"/>
    <x:xf numFmtId="200" fontId="0" fillId="0" borderId="0" xfId="0" applyNumberFormat="1" applyFont="1" applyFill="1" applyBorder="1"/>
    <x:xf numFmtId="200" fontId="4" fillId="3" borderId="0" xfId="0" applyNumberFormat="1" applyFont="1" applyFill="1" applyBorder="1"/>
    <x:xf numFmtId="201" fontId="0" fillId="0" borderId="0" xfId="0" applyNumberFormat="1" applyFont="1" applyFill="1" applyBorder="1"/>
    <x:xf numFmtId="201" fontId="4"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202" fontId="0" fillId="0" borderId="0" xfId="0" applyNumberFormat="1" applyFont="1" applyFill="1" applyBorder="1"/>
    <x:xf numFmtId="202" fontId="4" fillId="3" borderId="0" xfId="0" applyNumberFormat="1" applyFont="1" applyFill="1" applyBorder="1"/>
    <x:xf numFmtId="202" fontId="0" fillId="0" borderId="0" xfId="0" applyNumberFormat="1" applyFont="1" applyFill="1" applyBorder="1" applyAlignment="1">
      <x:alignment wrapText="1"/>
    </x:xf>
    <x:xf numFmtId="203" fontId="0" fillId="0" borderId="0" xfId="0" applyNumberFormat="1" applyFont="1" applyFill="1" applyBorder="1"/>
    <x:xf numFmtId="203"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6" fillId="2" borderId="0" xfId="0" applyNumberFormat="1" applyFont="1" applyFill="1" applyBorder="1" applyAlignment="1">
      <x:alignment vertical="center"/>
    </x:xf>
    <x:xf numFmtId="0" fontId="7" fillId="0" borderId="0" xfId="0" applyNumberFormat="1" applyFont="1" applyFill="1" applyBorder="1"/>
    <x:xf numFmtId="0" fontId="8" fillId="0"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200" fontId="7" fillId="0" borderId="0" xfId="0" applyNumberFormat="1" applyFont="1" applyFill="1" applyBorder="1"/>
    <x:xf numFmtId="201" fontId="7" fillId="0" borderId="0" xfId="0" applyNumberFormat="1" applyFont="1" applyFill="1" applyBorder="1"/>
    <x:xf numFmtId="0" fontId="6" fillId="3" borderId="0" xfId="0" applyNumberFormat="1" applyFont="1" applyFill="1" applyBorder="1"/>
    <x:xf numFmtId="200" fontId="6" fillId="3" borderId="0" xfId="0" applyNumberFormat="1" applyFont="1" applyFill="1" applyBorder="1"/>
    <x:xf numFmtId="201" fontId="6" fillId="3" borderId="0" xfId="0" applyNumberFormat="1" applyFont="1" applyFill="1" applyBorder="1"/>
    <x:xf numFmtId="0" fontId="7" fillId="4" borderId="0" xfId="0" applyNumberFormat="1" applyFont="1" applyFill="1" applyBorder="1" applyAlignment="1">
      <x:alignment vertical="top" wrapText="1"/>
    </x:xf>
    <x:xf numFmtId="0" fontId="7" fillId="0" borderId="0" xfId="0" applyNumberFormat="1" applyFont="1" applyFill="1" applyBorder="1" applyAlignment="1">
      <x:alignment wrapText="1"/>
    </x:xf>
    <x:xf numFmtId="0" fontId="9" fillId="2" borderId="0" xfId="0" applyNumberFormat="1" applyFont="1" applyFill="1" applyBorder="1" applyAlignment="1">
      <x:alignment vertical="center"/>
    </x:xf>
    <x:xf numFmtId="202" fontId="7" fillId="0" borderId="0" xfId="0" applyNumberFormat="1" applyFont="1" applyFill="1" applyBorder="1" applyAlignment="1">
      <x:alignment wrapText="1"/>
    </x:xf>
    <x:xf numFmtId="202" fontId="6" fillId="3" borderId="0" xfId="0" applyNumberFormat="1" applyFont="1" applyFill="1" applyBorder="1"/>
    <x:xf numFmtId="203" fontId="7" fillId="0" borderId="0" xfId="0" applyNumberFormat="1" applyFont="1" applyFill="1" applyBorder="1" applyAlignment="1">
      <x:alignment wrapText="1"/>
    </x:xf>
    <x:xf numFmtId="200" fontId="7" fillId="0" borderId="0" xfId="0" applyNumberFormat="1" applyFont="1" applyFill="1" applyBorder="1" applyAlignment="1">
      <x:alignment wrapText="1"/>
    </x:xf>
  </x:cellXfs>
  <x:cellStyles count="1">
    <x:cellStyle name="Normal" xfId="0"/>
  </x:cellStyles>
  <x:dxfs count="2">
    <x:dxf>
      <x:font>
        <x:b/>
        <x:color rgb="FF9B1C1C"/>
      </x:font>
      <x:fill>
        <x:patternFill patternType="solid">
          <x:bgColor rgb="FFFCE8E6"/>
        </x:patternFill>
      </x:fill>
    </x:dxf>
    <x:dxf>
      <x:font>
        <x:b/>
        <x:color rgb="FF166534"/>
      </x:font>
      <x:fill>
        <x:patternFill patternType="solid">
          <x:bgColor rgb="FFE5F4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46f7284d6a48d5" /><Relationship Type="http://schemas.openxmlformats.org/officeDocument/2006/relationships/theme" Target="/xl/theme/theme1.xml" Id="Rb6a03a76baaf4618" /><Relationship Type="http://schemas.openxmlformats.org/officeDocument/2006/relationships/sharedStrings" Target="/xl/sharedStrings.xml" Id="R6053256761f5438b" /><Relationship Type="http://schemas.openxmlformats.org/officeDocument/2006/relationships/worksheet" Target="/xl/worksheets/sheet1.xml" Id="Rb14e29a57ddf4711" /><Relationship Type="http://schemas.openxmlformats.org/officeDocument/2006/relationships/worksheet" Target="/xl/worksheets/sheet2.xml" Id="R0b0f3cc7f512440a" /><Relationship Type="http://schemas.openxmlformats.org/officeDocument/2006/relationships/worksheet" Target="/xl/worksheets/sheet3.xml" Id="Rf10157874c0141ce" /><Relationship Type="http://schemas.openxmlformats.org/officeDocument/2006/relationships/worksheet" Target="/xl/worksheets/sheet4.xml" Id="R5852c9c01352465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3" hidden="0" customWidth="1"/>
    <x:col min="2" max="2" width="21" hidden="0" customWidth="1"/>
    <x:col min="3" max="3" width="14" hidden="0" customWidth="1"/>
    <x:col min="4" max="4" width="14" hidden="0" customWidth="1"/>
    <x:col min="5" max="5" width="14" hidden="0" customWidth="1"/>
    <x:col min="6" max="6" width="14" hidden="0" customWidth="1"/>
    <x:col min="7" max="7" width="14" hidden="0" customWidth="1"/>
    <x:col min="8" max="8" width="16" hidden="0" customWidth="1"/>
  </x:cols>
  <x:sheetData>
    <x:row r="1" ht="30" customHeight="1">
      <x:c r="A1" s="42" t="str">
        <x:v>FY2026 Operating Budget</x:v>
      </x:c>
      <x:c r="B1" s="30"/>
      <x:c r="C1" s="30"/>
      <x:c r="D1" s="30"/>
      <x:c r="E1" s="30"/>
      <x:c r="F1" s="30"/>
      <x:c r="G1" s="30"/>
      <x:c r="H1" s="30"/>
    </x:row>
    <x:row r="2" ht="24" customHeight="1">
      <x:c r="A2" s="31" t="str">
        <x:v>Fictional Northstar Labs management budget - USD | Version 1.0 | Approved 2026-01-10</x:v>
      </x:c>
      <x:c r="B2" s="30"/>
      <x:c r="C2" s="30"/>
      <x:c r="D2" s="30"/>
      <x:c r="E2" s="30"/>
      <x:c r="F2" s="30"/>
      <x:c r="G2" s="30"/>
      <x:c r="H2" s="30"/>
    </x:row>
    <x:row r="3">
      <x:c r="A3" s="30"/>
      <x:c r="B3" s="30"/>
      <x:c r="C3" s="30"/>
      <x:c r="D3" s="30"/>
      <x:c r="E3" s="30"/>
      <x:c r="F3" s="30"/>
      <x:c r="G3" s="30"/>
      <x:c r="H3" s="30"/>
    </x:row>
    <x:row r="4">
      <x:c r="A4" s="32" t="str">
        <x:v>Budget owner</x:v>
      </x:c>
      <x:c r="B4" s="33" t="str">
        <x:v>Finance Planning &amp; Analysis</x:v>
      </x:c>
      <x:c r="C4" s="32" t="str">
        <x:v>Scenario</x:v>
      </x:c>
      <x:c r="D4" s="33" t="str">
        <x:v>Approved Plan</x:v>
      </x:c>
      <x:c r="E4" s="30"/>
      <x:c r="F4" s="30"/>
      <x:c r="G4" s="30"/>
      <x:c r="H4" s="30"/>
    </x:row>
    <x:row r="5">
      <x:c r="A5" s="32" t="str">
        <x:v>Fiscal year</x:v>
      </x:c>
      <x:c r="B5" s="33" t="n">
        <x:v>2026</x:v>
      </x:c>
      <x:c r="C5" s="32" t="str">
        <x:v>Last refreshed</x:v>
      </x:c>
      <x:c r="D5" s="33" t="str">
        <x:v>2026-05-05</x:v>
      </x:c>
      <x:c r="E5" s="30"/>
      <x:c r="F5" s="30"/>
      <x:c r="G5" s="30"/>
      <x:c r="H5" s="30"/>
    </x:row>
    <x:row r="6">
      <x:c r="A6" s="30"/>
      <x:c r="B6" s="30"/>
      <x:c r="C6" s="30"/>
      <x:c r="D6" s="30"/>
      <x:c r="E6" s="30"/>
      <x:c r="F6" s="30"/>
      <x:c r="G6" s="30"/>
      <x:c r="H6" s="30"/>
    </x:row>
    <x:row r="7">
      <x:c r="A7" s="34" t="str">
        <x:v>Category</x:v>
      </x:c>
      <x:c r="B7" s="34" t="str">
        <x:v>Owner</x:v>
      </x:c>
      <x:c r="C7" s="34" t="str">
        <x:v>Annual Budget</x:v>
      </x:c>
      <x:c r="D7" s="34" t="str">
        <x:v>YTD Budget</x:v>
      </x:c>
      <x:c r="E7" s="34" t="str">
        <x:v>YTD Actual</x:v>
      </x:c>
      <x:c r="F7" s="34" t="str">
        <x:v>Variance $</x:v>
      </x:c>
      <x:c r="G7" s="34" t="str">
        <x:v>Variance %</x:v>
      </x:c>
      <x:c r="H7" s="34" t="str">
        <x:v>Status</x:v>
      </x:c>
    </x:row>
    <x:row r="8">
      <x:c r="A8" s="30" t="str">
        <x:v>People</x:v>
      </x:c>
      <x:c r="B8" s="30" t="str">
        <x:v>People Operations</x:v>
      </x:c>
      <x:c r="C8" s="35" t="n">
        <x:v>480000</x:v>
      </x:c>
      <x:c r="D8" s="35" t="n">
        <x:f>C8*4/12</x:f>
        <x:v>160000</x:v>
      </x:c>
      <x:c r="E8" s="35" t="n">
        <x:f>SUMIFS('Transactions'!$G$5:$G$40,'Transactions'!$C$5:$C$40,$A8)</x:f>
        <x:v>160000</x:v>
      </x:c>
      <x:c r="F8" s="35" t="n">
        <x:f>D8-E8</x:f>
        <x:v>0</x:v>
      </x:c>
      <x:c r="G8" s="36" t="n">
        <x:f>IF(D8=0,0,F8/D8)</x:f>
        <x:v>0</x:v>
      </x:c>
      <x:c r="H8" s="30" t="str">
        <x:f>IF(F8&lt;0,"Over budget","On track")</x:f>
        <x:v>On track</x:v>
      </x:c>
    </x:row>
    <x:row r="9">
      <x:c r="A9" s="30" t="str">
        <x:v>Travel</x:v>
      </x:c>
      <x:c r="B9" s="30" t="str">
        <x:v>Operations</x:v>
      </x:c>
      <x:c r="C9" s="35" t="n">
        <x:v>120000</x:v>
      </x:c>
      <x:c r="D9" s="35" t="n">
        <x:f>C9*4/12</x:f>
        <x:v>40000</x:v>
      </x:c>
      <x:c r="E9" s="35" t="n">
        <x:f>SUMIFS('Transactions'!$G$5:$G$40,'Transactions'!$C$5:$C$40,$A9)</x:f>
        <x:v>21600</x:v>
      </x:c>
      <x:c r="F9" s="35" t="n">
        <x:f>D9-E9</x:f>
        <x:v>18400</x:v>
      </x:c>
      <x:c r="G9" s="36" t="n">
        <x:f>IF(D9=0,0,F9/D9)</x:f>
        <x:v>0.46</x:v>
      </x:c>
      <x:c r="H9" s="30" t="str">
        <x:f>IF(F9&lt;0,"Over budget","On track")</x:f>
        <x:v>On track</x:v>
      </x:c>
    </x:row>
    <x:row r="10">
      <x:c r="A10" s="30" t="str">
        <x:v>Software</x:v>
      </x:c>
      <x:c r="B10" s="30" t="str">
        <x:v>Technology</x:v>
      </x:c>
      <x:c r="C10" s="35" t="n">
        <x:v>220000</x:v>
      </x:c>
      <x:c r="D10" s="35" t="n">
        <x:f>C10*4/12</x:f>
        <x:v>73333.33333333333</x:v>
      </x:c>
      <x:c r="E10" s="35" t="n">
        <x:f>SUMIFS('Transactions'!$G$5:$G$40,'Transactions'!$C$5:$C$40,$A10)</x:f>
        <x:v>55000</x:v>
      </x:c>
      <x:c r="F10" s="35" t="n">
        <x:f>D10-E10</x:f>
        <x:v>18333.33333333333</x:v>
      </x:c>
      <x:c r="G10" s="36" t="n">
        <x:f>IF(D10=0,0,F10/D10)</x:f>
        <x:v>0.24999999999999994</x:v>
      </x:c>
      <x:c r="H10" s="30" t="str">
        <x:f>IF(F10&lt;0,"Over budget","On track")</x:f>
        <x:v>On track</x:v>
      </x:c>
    </x:row>
    <x:row r="11">
      <x:c r="A11" s="30" t="str">
        <x:v>Facilities</x:v>
      </x:c>
      <x:c r="B11" s="30" t="str">
        <x:v>Workplace</x:v>
      </x:c>
      <x:c r="C11" s="35" t="n">
        <x:v>160000</x:v>
      </x:c>
      <x:c r="D11" s="35" t="n">
        <x:f>C11*4/12</x:f>
        <x:v>53333.333333333336</x:v>
      </x:c>
      <x:c r="E11" s="35" t="n">
        <x:f>SUMIFS('Transactions'!$G$5:$G$40,'Transactions'!$C$5:$C$40,$A11)</x:f>
        <x:v>49200</x:v>
      </x:c>
      <x:c r="F11" s="35" t="n">
        <x:f>D11-E11</x:f>
        <x:v>4133.333333333336</x:v>
      </x:c>
      <x:c r="G11" s="36" t="n">
        <x:f>IF(D11=0,0,F11/D11)</x:f>
        <x:v>0.07750000000000004</x:v>
      </x:c>
      <x:c r="H11" s="30" t="str">
        <x:f>IF(F11&lt;0,"Over budget","On track")</x:f>
        <x:v>On track</x:v>
      </x:c>
    </x:row>
    <x:row r="12">
      <x:c r="A12" s="30" t="str">
        <x:v>Professional Services</x:v>
      </x:c>
      <x:c r="B12" s="30" t="str">
        <x:v>Legal</x:v>
      </x:c>
      <x:c r="C12" s="35" t="n">
        <x:v>100000</x:v>
      </x:c>
      <x:c r="D12" s="35" t="n">
        <x:f>C12*4/12</x:f>
        <x:v>33333.333333333336</x:v>
      </x:c>
      <x:c r="E12" s="35" t="n">
        <x:f>SUMIFS('Transactions'!$G$5:$G$40,'Transactions'!$C$5:$C$40,$A12)</x:f>
        <x:v>17400</x:v>
      </x:c>
      <x:c r="F12" s="35" t="n">
        <x:f>D12-E12</x:f>
        <x:v>15933.333333333336</x:v>
      </x:c>
      <x:c r="G12" s="36" t="n">
        <x:f>IF(D12=0,0,F12/D12)</x:f>
        <x:v>0.47800000000000004</x:v>
      </x:c>
      <x:c r="H12" s="30" t="str">
        <x:f>IF(F12&lt;0,"Over budget","On track")</x:f>
        <x:v>On track</x:v>
      </x:c>
    </x:row>
    <x:row r="13">
      <x:c r="A13" s="30" t="str">
        <x:v>Marketing</x:v>
      </x:c>
      <x:c r="B13" s="30" t="str">
        <x:v>Marketing</x:v>
      </x:c>
      <x:c r="C13" s="35" t="n">
        <x:v>90000</x:v>
      </x:c>
      <x:c r="D13" s="35" t="n">
        <x:f>C13*4/12</x:f>
        <x:v>30000</x:v>
      </x:c>
      <x:c r="E13" s="35" t="n">
        <x:f>SUMIFS('Transactions'!$G$5:$G$40,'Transactions'!$C$5:$C$40,$A13)</x:f>
        <x:v>26700</x:v>
      </x:c>
      <x:c r="F13" s="35" t="n">
        <x:f>D13-E13</x:f>
        <x:v>3300</x:v>
      </x:c>
      <x:c r="G13" s="36" t="n">
        <x:f>IF(D13=0,0,F13/D13)</x:f>
        <x:v>0.11</x:v>
      </x:c>
      <x:c r="H13" s="30" t="str">
        <x:f>IF(F13&lt;0,"Over budget","On track")</x:f>
        <x:v>On track</x:v>
      </x:c>
    </x:row>
    <x:row r="14">
      <x:c r="A14" s="30" t="str">
        <x:v>Learning</x:v>
      </x:c>
      <x:c r="B14" s="30" t="str">
        <x:v>People Operations</x:v>
      </x:c>
      <x:c r="C14" s="35" t="n">
        <x:v>40000</x:v>
      </x:c>
      <x:c r="D14" s="35" t="n">
        <x:f>C14*4/12</x:f>
        <x:v>13333.333333333334</x:v>
      </x:c>
      <x:c r="E14" s="35" t="n">
        <x:f>SUMIFS('Transactions'!$G$5:$G$40,'Transactions'!$C$5:$C$40,$A14)</x:f>
        <x:v>7200</x:v>
      </x:c>
      <x:c r="F14" s="35" t="n">
        <x:f>D14-E14</x:f>
        <x:v>6133.333333333334</x:v>
      </x:c>
      <x:c r="G14" s="36" t="n">
        <x:f>IF(D14=0,0,F14/D14)</x:f>
        <x:v>0.46</x:v>
      </x:c>
      <x:c r="H14" s="30" t="str">
        <x:f>IF(F14&lt;0,"Over budget","On track")</x:f>
        <x:v>On track</x:v>
      </x:c>
    </x:row>
    <x:row r="15">
      <x:c r="A15" s="30" t="str">
        <x:v>Contingency</x:v>
      </x:c>
      <x:c r="B15" s="30" t="str">
        <x:v>CFO</x:v>
      </x:c>
      <x:c r="C15" s="35" t="n">
        <x:v>70000</x:v>
      </x:c>
      <x:c r="D15" s="35" t="n">
        <x:f>C15*4/12</x:f>
        <x:v>23333.333333333332</x:v>
      </x:c>
      <x:c r="E15" s="35" t="n">
        <x:f>SUMIFS('Transactions'!$G$5:$G$40,'Transactions'!$C$5:$C$40,$A15)</x:f>
        <x:v>11500</x:v>
      </x:c>
      <x:c r="F15" s="35" t="n">
        <x:f>D15-E15</x:f>
        <x:v>11833.333333333332</x:v>
      </x:c>
      <x:c r="G15" s="36" t="n">
        <x:f>IF(D15=0,0,F15/D15)</x:f>
        <x:v>0.5071428571428571</x:v>
      </x:c>
      <x:c r="H15" s="30" t="str">
        <x:f>IF(F15&lt;0,"Over budget","On track")</x:f>
        <x:v>On track</x:v>
      </x:c>
    </x:row>
    <x:row r="16">
      <x:c r="A16" s="37" t="str">
        <x:v>TOTAL</x:v>
      </x:c>
      <x:c r="B16" s="37"/>
      <x:c r="C16" s="38" t="n">
        <x:f>SUM(C8:C15)</x:f>
        <x:v>1280000</x:v>
      </x:c>
      <x:c r="D16" s="38" t="n">
        <x:f>SUM(D8:D15)</x:f>
        <x:v>426666.66666666657</x:v>
      </x:c>
      <x:c r="E16" s="38" t="n">
        <x:f>SUM(E8:E15)</x:f>
        <x:v>348600</x:v>
      </x:c>
      <x:c r="F16" s="38" t="n">
        <x:f>SUM(F8:F15)</x:f>
        <x:v>78066.66666666666</x:v>
      </x:c>
      <x:c r="G16" s="39" t="n">
        <x:f>IF(D16=0,0,F16/D16)</x:f>
        <x:v>0.18296875</x:v>
      </x:c>
      <x:c r="H16" s="37" t="str">
        <x:f>IF(F16&lt;0,"Over budget","On track")</x:f>
        <x:v>On track</x:v>
      </x:c>
    </x:row>
    <x:row r="17">
      <x:c r="A17" s="30"/>
      <x:c r="B17" s="30"/>
      <x:c r="C17" s="30"/>
      <x:c r="D17" s="30"/>
      <x:c r="E17" s="30"/>
      <x:c r="F17" s="30"/>
      <x:c r="G17" s="30"/>
      <x:c r="H17" s="30"/>
    </x:row>
    <x:row r="18">
      <x:c r="A18" s="34" t="str">
        <x:v>Management notes</x:v>
      </x:c>
      <x:c r="B18" s="34"/>
      <x:c r="C18" s="34"/>
      <x:c r="D18" s="34"/>
      <x:c r="E18" s="34"/>
      <x:c r="F18" s="34"/>
      <x:c r="G18" s="34"/>
      <x:c r="H18" s="34"/>
    </x:row>
    <x:row r="19">
      <x:c r="A19" s="40" t="str">
        <x:v>Travel is planned at USD 120,000 for FY2026. Software includes security, cloud development tools, collaboration, and data services. Professional Services includes outside counsel, audit, tax, and specialist consulting. Contingency is controlled by the CFO and must not be used to conceal recurring operating costs. Budget availability does not replace the Expense and Travel Policy or Procurement approval requirements.</x:v>
      </x:c>
      <x:c r="B19" s="40"/>
      <x:c r="C19" s="40"/>
      <x:c r="D19" s="40"/>
      <x:c r="E19" s="40"/>
      <x:c r="F19" s="40"/>
      <x:c r="G19" s="40"/>
      <x:c r="H19" s="40"/>
    </x:row>
    <x:row r="20">
      <x:c r="A20" s="40"/>
      <x:c r="B20" s="40"/>
      <x:c r="C20" s="40"/>
      <x:c r="D20" s="40"/>
      <x:c r="E20" s="40"/>
      <x:c r="F20" s="40"/>
      <x:c r="G20" s="40"/>
      <x:c r="H20" s="40"/>
    </x:row>
    <x:row r="21">
      <x:c r="A21" s="40"/>
      <x:c r="B21" s="40"/>
      <x:c r="C21" s="40"/>
      <x:c r="D21" s="40"/>
      <x:c r="E21" s="40"/>
      <x:c r="F21" s="40"/>
      <x:c r="G21" s="40"/>
      <x:c r="H21" s="40"/>
    </x:row>
    <x:row r="22">
      <x:c r="A22" s="30"/>
      <x:c r="B22" s="30"/>
      <x:c r="C22" s="30"/>
      <x:c r="D22" s="30"/>
      <x:c r="E22" s="30"/>
      <x:c r="F22" s="30"/>
      <x:c r="G22" s="30"/>
      <x:c r="H22" s="30"/>
    </x:row>
    <x:row r="23">
      <x:c r="A23" s="34" t="str">
        <x:v>Control</x:v>
      </x:c>
      <x:c r="B23" s="34" t="str">
        <x:v>Result</x:v>
      </x:c>
      <x:c r="C23" s="34" t="str">
        <x:v>Explanation</x:v>
      </x:c>
      <x:c r="D23" s="34" t="str"/>
      <x:c r="E23" s="34" t="str"/>
      <x:c r="F23" s="34" t="str"/>
      <x:c r="G23" s="34" t="str"/>
      <x:c r="H23" s="34" t="str"/>
    </x:row>
    <x:row r="24">
      <x:c r="A24" s="41" t="str">
        <x:v>Category budgets tie to annual total</x:v>
      </x:c>
      <x:c r="B24" s="41" t="str">
        <x:f>IF(C16=1280000,"PASS","FAIL")</x:f>
        <x:v>PASS</x:v>
      </x:c>
      <x:c r="C24" s="41" t="str">
        <x:v>Approved annual operating budget is USD 1,280,000.</x:v>
      </x:c>
      <x:c r="D24" s="41"/>
      <x:c r="E24" s="41"/>
      <x:c r="F24" s="41"/>
      <x:c r="G24" s="41"/>
      <x:c r="H24" s="41"/>
    </x:row>
    <x:row r="25">
      <x:c r="A25" s="41" t="str">
        <x:v>Monthly plan ties to annual budget</x:v>
      </x:c>
      <x:c r="B25" s="41" t="str">
        <x:f>IF(ABS(SUM('Monthly Plan'!C5:C100)-C16)&lt;1,"PASS","FAIL")</x:f>
        <x:v>PASS</x:v>
      </x:c>
      <x:c r="C25" s="41" t="str">
        <x:v>All twelve monthly allocations must equal the category totals.</x:v>
      </x:c>
      <x:c r="D25" s="41"/>
      <x:c r="E25" s="41"/>
      <x:c r="F25" s="41"/>
      <x:c r="G25" s="41"/>
      <x:c r="H25" s="41"/>
    </x:row>
  </x:sheetData>
  <x:mergeCells>
    <x:mergeCell ref="A1:H1"/>
    <x:mergeCell ref="A2:H2"/>
    <x:mergeCell ref="A16:B16"/>
    <x:mergeCell ref="A18:H18"/>
    <x:mergeCell ref="A19:H21"/>
    <x:mergeCell ref="C23:H23"/>
    <x:mergeCell ref="C24:H24"/>
    <x:mergeCell ref="C25:H25"/>
  </x:mergeCells>
  <x:conditionalFormatting sqref="H8:H16">
    <x:cfRule type="containsText" dxfId="0" priority="1" operator="containsText" text="Over budget"/>
    <x:cfRule type="containsText" dxfId="1" priority="2" operator="containsText" text="On track"/>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0" hidden="0" customWidth="1"/>
    <x:col min="3" max="3" width="14" hidden="0" customWidth="1"/>
    <x:col min="4" max="4" width="13" hidden="0" customWidth="1"/>
    <x:col min="5" max="5" width="22" hidden="0" customWidth="1"/>
    <x:col min="6" max="6" width="29" hidden="0" customWidth="1"/>
  </x:cols>
  <x:sheetData>
    <x:row r="1" ht="30" customHeight="1">
      <x:c r="A1" s="42" t="str">
        <x:v>Monthly Budget Allocation</x:v>
      </x:c>
      <x:c r="B1" s="30"/>
      <x:c r="C1" s="30"/>
      <x:c r="D1" s="30"/>
      <x:c r="E1" s="30"/>
      <x:c r="F1" s="30"/>
    </x:row>
    <x:row r="2" ht="24" customHeight="1">
      <x:c r="A2" s="31" t="str">
        <x:v>Editable annual plan allocated evenly by category; yellow cells are approved inputs</x:v>
      </x:c>
      <x:c r="B2" s="30"/>
      <x:c r="C2" s="30"/>
      <x:c r="D2" s="30"/>
      <x:c r="E2" s="30"/>
      <x:c r="F2" s="30"/>
    </x:row>
    <x:row r="3">
      <x:c r="A3" s="30"/>
      <x:c r="B3" s="30"/>
      <x:c r="C3" s="30"/>
      <x:c r="D3" s="30"/>
      <x:c r="E3" s="30"/>
      <x:c r="F3" s="30"/>
    </x:row>
    <x:row r="4">
      <x:c r="A4" s="34" t="str">
        <x:v>Category</x:v>
      </x:c>
      <x:c r="B4" s="34" t="str">
        <x:v>Month</x:v>
      </x:c>
      <x:c r="C4" s="34" t="str">
        <x:v>Budget</x:v>
      </x:c>
      <x:c r="D4" s="34" t="str">
        <x:v>Cost Center</x:v>
      </x:c>
      <x:c r="E4" s="34" t="str">
        <x:v>Owner</x:v>
      </x:c>
      <x:c r="F4" s="34" t="str">
        <x:v>Planning Note</x:v>
      </x:c>
    </x:row>
    <x:row r="5">
      <x:c r="A5" s="41" t="str">
        <x:v>People</x:v>
      </x:c>
      <x:c r="B5" s="41" t="str">
        <x:v>Jan</x:v>
      </x:c>
      <x:c r="C5" s="43" t="n">
        <x:f>'Summary'!$C$8/12</x:f>
        <x:v>40000</x:v>
      </x:c>
      <x:c r="D5" s="41" t="str">
        <x:v>CC-4100</x:v>
      </x:c>
      <x:c r="E5" s="41" t="str">
        <x:v>People Operations</x:v>
      </x:c>
      <x:c r="F5" s="41" t="str">
        <x:v>Approved FY2026 allocation</x:v>
      </x:c>
    </x:row>
    <x:row r="6">
      <x:c r="A6" s="41" t="str">
        <x:v>People</x:v>
      </x:c>
      <x:c r="B6" s="41" t="str">
        <x:v>Feb</x:v>
      </x:c>
      <x:c r="C6" s="43" t="n">
        <x:f>'Summary'!$C$8/12</x:f>
        <x:v>40000</x:v>
      </x:c>
      <x:c r="D6" s="41" t="str">
        <x:v>CC-4100</x:v>
      </x:c>
      <x:c r="E6" s="41" t="str">
        <x:v>People Operations</x:v>
      </x:c>
      <x:c r="F6" s="41" t="str"/>
    </x:row>
    <x:row r="7">
      <x:c r="A7" s="41" t="str">
        <x:v>People</x:v>
      </x:c>
      <x:c r="B7" s="41" t="str">
        <x:v>Mar</x:v>
      </x:c>
      <x:c r="C7" s="43" t="n">
        <x:f>'Summary'!$C$8/12</x:f>
        <x:v>40000</x:v>
      </x:c>
      <x:c r="D7" s="41" t="str">
        <x:v>CC-4100</x:v>
      </x:c>
      <x:c r="E7" s="41" t="str">
        <x:v>People Operations</x:v>
      </x:c>
      <x:c r="F7" s="41" t="str"/>
    </x:row>
    <x:row r="8">
      <x:c r="A8" s="41" t="str">
        <x:v>People</x:v>
      </x:c>
      <x:c r="B8" s="41" t="str">
        <x:v>Apr</x:v>
      </x:c>
      <x:c r="C8" s="43" t="n">
        <x:f>'Summary'!$C$8/12</x:f>
        <x:v>40000</x:v>
      </x:c>
      <x:c r="D8" s="41" t="str">
        <x:v>CC-4100</x:v>
      </x:c>
      <x:c r="E8" s="41" t="str">
        <x:v>People Operations</x:v>
      </x:c>
      <x:c r="F8" s="41" t="str"/>
    </x:row>
    <x:row r="9">
      <x:c r="A9" s="41" t="str">
        <x:v>People</x:v>
      </x:c>
      <x:c r="B9" s="41" t="str">
        <x:v>May</x:v>
      </x:c>
      <x:c r="C9" s="43" t="n">
        <x:f>'Summary'!$C$8/12</x:f>
        <x:v>40000</x:v>
      </x:c>
      <x:c r="D9" s="41" t="str">
        <x:v>CC-4100</x:v>
      </x:c>
      <x:c r="E9" s="41" t="str">
        <x:v>People Operations</x:v>
      </x:c>
      <x:c r="F9" s="41" t="str"/>
    </x:row>
    <x:row r="10">
      <x:c r="A10" s="41" t="str">
        <x:v>People</x:v>
      </x:c>
      <x:c r="B10" s="41" t="str">
        <x:v>Jun</x:v>
      </x:c>
      <x:c r="C10" s="43" t="n">
        <x:f>'Summary'!$C$8/12</x:f>
        <x:v>40000</x:v>
      </x:c>
      <x:c r="D10" s="41" t="str">
        <x:v>CC-4100</x:v>
      </x:c>
      <x:c r="E10" s="41" t="str">
        <x:v>People Operations</x:v>
      </x:c>
      <x:c r="F10" s="41" t="str"/>
    </x:row>
    <x:row r="11">
      <x:c r="A11" s="41" t="str">
        <x:v>People</x:v>
      </x:c>
      <x:c r="B11" s="41" t="str">
        <x:v>Jul</x:v>
      </x:c>
      <x:c r="C11" s="43" t="n">
        <x:f>'Summary'!$C$8/12</x:f>
        <x:v>40000</x:v>
      </x:c>
      <x:c r="D11" s="41" t="str">
        <x:v>CC-4100</x:v>
      </x:c>
      <x:c r="E11" s="41" t="str">
        <x:v>People Operations</x:v>
      </x:c>
      <x:c r="F11" s="41" t="str"/>
    </x:row>
    <x:row r="12">
      <x:c r="A12" s="41" t="str">
        <x:v>People</x:v>
      </x:c>
      <x:c r="B12" s="41" t="str">
        <x:v>Aug</x:v>
      </x:c>
      <x:c r="C12" s="43" t="n">
        <x:f>'Summary'!$C$8/12</x:f>
        <x:v>40000</x:v>
      </x:c>
      <x:c r="D12" s="41" t="str">
        <x:v>CC-4100</x:v>
      </x:c>
      <x:c r="E12" s="41" t="str">
        <x:v>People Operations</x:v>
      </x:c>
      <x:c r="F12" s="41" t="str"/>
    </x:row>
    <x:row r="13">
      <x:c r="A13" s="41" t="str">
        <x:v>People</x:v>
      </x:c>
      <x:c r="B13" s="41" t="str">
        <x:v>Sep</x:v>
      </x:c>
      <x:c r="C13" s="43" t="n">
        <x:f>'Summary'!$C$8/12</x:f>
        <x:v>40000</x:v>
      </x:c>
      <x:c r="D13" s="41" t="str">
        <x:v>CC-4100</x:v>
      </x:c>
      <x:c r="E13" s="41" t="str">
        <x:v>People Operations</x:v>
      </x:c>
      <x:c r="F13" s="41" t="str"/>
    </x:row>
    <x:row r="14">
      <x:c r="A14" s="41" t="str">
        <x:v>People</x:v>
      </x:c>
      <x:c r="B14" s="41" t="str">
        <x:v>Oct</x:v>
      </x:c>
      <x:c r="C14" s="43" t="n">
        <x:f>'Summary'!$C$8/12</x:f>
        <x:v>40000</x:v>
      </x:c>
      <x:c r="D14" s="41" t="str">
        <x:v>CC-4100</x:v>
      </x:c>
      <x:c r="E14" s="41" t="str">
        <x:v>People Operations</x:v>
      </x:c>
      <x:c r="F14" s="41" t="str"/>
    </x:row>
    <x:row r="15">
      <x:c r="A15" s="41" t="str">
        <x:v>People</x:v>
      </x:c>
      <x:c r="B15" s="41" t="str">
        <x:v>Nov</x:v>
      </x:c>
      <x:c r="C15" s="43" t="n">
        <x:f>'Summary'!$C$8/12</x:f>
        <x:v>40000</x:v>
      </x:c>
      <x:c r="D15" s="41" t="str">
        <x:v>CC-4100</x:v>
      </x:c>
      <x:c r="E15" s="41" t="str">
        <x:v>People Operations</x:v>
      </x:c>
      <x:c r="F15" s="41" t="str"/>
    </x:row>
    <x:row r="16">
      <x:c r="A16" s="41" t="str">
        <x:v>People</x:v>
      </x:c>
      <x:c r="B16" s="41" t="str">
        <x:v>Dec</x:v>
      </x:c>
      <x:c r="C16" s="43" t="n">
        <x:f>'Summary'!$C$8/12</x:f>
        <x:v>40000</x:v>
      </x:c>
      <x:c r="D16" s="41" t="str">
        <x:v>CC-4100</x:v>
      </x:c>
      <x:c r="E16" s="41" t="str">
        <x:v>People Operations</x:v>
      </x:c>
      <x:c r="F16" s="41" t="str"/>
    </x:row>
    <x:row r="17">
      <x:c r="A17" s="41" t="str">
        <x:v>Travel</x:v>
      </x:c>
      <x:c r="B17" s="41" t="str">
        <x:v>Jan</x:v>
      </x:c>
      <x:c r="C17" s="43" t="n">
        <x:f>'Summary'!$C$9/12</x:f>
        <x:v>10000</x:v>
      </x:c>
      <x:c r="D17" s="41" t="str">
        <x:v>CC-4110</x:v>
      </x:c>
      <x:c r="E17" s="41" t="str">
        <x:v>Operations</x:v>
      </x:c>
      <x:c r="F17" s="41" t="str">
        <x:v>Approved FY2026 allocation</x:v>
      </x:c>
    </x:row>
    <x:row r="18">
      <x:c r="A18" s="41" t="str">
        <x:v>Travel</x:v>
      </x:c>
      <x:c r="B18" s="41" t="str">
        <x:v>Feb</x:v>
      </x:c>
      <x:c r="C18" s="43" t="n">
        <x:f>'Summary'!$C$9/12</x:f>
        <x:v>10000</x:v>
      </x:c>
      <x:c r="D18" s="41" t="str">
        <x:v>CC-4110</x:v>
      </x:c>
      <x:c r="E18" s="41" t="str">
        <x:v>Operations</x:v>
      </x:c>
      <x:c r="F18" s="41" t="str"/>
    </x:row>
    <x:row r="19">
      <x:c r="A19" s="41" t="str">
        <x:v>Travel</x:v>
      </x:c>
      <x:c r="B19" s="41" t="str">
        <x:v>Mar</x:v>
      </x:c>
      <x:c r="C19" s="43" t="n">
        <x:f>'Summary'!$C$9/12</x:f>
        <x:v>10000</x:v>
      </x:c>
      <x:c r="D19" s="41" t="str">
        <x:v>CC-4110</x:v>
      </x:c>
      <x:c r="E19" s="41" t="str">
        <x:v>Operations</x:v>
      </x:c>
      <x:c r="F19" s="41" t="str"/>
    </x:row>
    <x:row r="20">
      <x:c r="A20" s="41" t="str">
        <x:v>Travel</x:v>
      </x:c>
      <x:c r="B20" s="41" t="str">
        <x:v>Apr</x:v>
      </x:c>
      <x:c r="C20" s="43" t="n">
        <x:f>'Summary'!$C$9/12</x:f>
        <x:v>10000</x:v>
      </x:c>
      <x:c r="D20" s="41" t="str">
        <x:v>CC-4110</x:v>
      </x:c>
      <x:c r="E20" s="41" t="str">
        <x:v>Operations</x:v>
      </x:c>
      <x:c r="F20" s="41" t="str"/>
    </x:row>
    <x:row r="21">
      <x:c r="A21" s="41" t="str">
        <x:v>Travel</x:v>
      </x:c>
      <x:c r="B21" s="41" t="str">
        <x:v>May</x:v>
      </x:c>
      <x:c r="C21" s="43" t="n">
        <x:f>'Summary'!$C$9/12</x:f>
        <x:v>10000</x:v>
      </x:c>
      <x:c r="D21" s="41" t="str">
        <x:v>CC-4110</x:v>
      </x:c>
      <x:c r="E21" s="41" t="str">
        <x:v>Operations</x:v>
      </x:c>
      <x:c r="F21" s="41" t="str"/>
    </x:row>
    <x:row r="22">
      <x:c r="A22" s="41" t="str">
        <x:v>Travel</x:v>
      </x:c>
      <x:c r="B22" s="41" t="str">
        <x:v>Jun</x:v>
      </x:c>
      <x:c r="C22" s="43" t="n">
        <x:f>'Summary'!$C$9/12</x:f>
        <x:v>10000</x:v>
      </x:c>
      <x:c r="D22" s="41" t="str">
        <x:v>CC-4110</x:v>
      </x:c>
      <x:c r="E22" s="41" t="str">
        <x:v>Operations</x:v>
      </x:c>
      <x:c r="F22" s="41" t="str"/>
    </x:row>
    <x:row r="23">
      <x:c r="A23" s="41" t="str">
        <x:v>Travel</x:v>
      </x:c>
      <x:c r="B23" s="41" t="str">
        <x:v>Jul</x:v>
      </x:c>
      <x:c r="C23" s="43" t="n">
        <x:f>'Summary'!$C$9/12</x:f>
        <x:v>10000</x:v>
      </x:c>
      <x:c r="D23" s="41" t="str">
        <x:v>CC-4110</x:v>
      </x:c>
      <x:c r="E23" s="41" t="str">
        <x:v>Operations</x:v>
      </x:c>
      <x:c r="F23" s="41" t="str"/>
    </x:row>
    <x:row r="24">
      <x:c r="A24" s="41" t="str">
        <x:v>Travel</x:v>
      </x:c>
      <x:c r="B24" s="41" t="str">
        <x:v>Aug</x:v>
      </x:c>
      <x:c r="C24" s="43" t="n">
        <x:f>'Summary'!$C$9/12</x:f>
        <x:v>10000</x:v>
      </x:c>
      <x:c r="D24" s="41" t="str">
        <x:v>CC-4110</x:v>
      </x:c>
      <x:c r="E24" s="41" t="str">
        <x:v>Operations</x:v>
      </x:c>
      <x:c r="F24" s="41" t="str"/>
    </x:row>
    <x:row r="25">
      <x:c r="A25" s="41" t="str">
        <x:v>Travel</x:v>
      </x:c>
      <x:c r="B25" s="41" t="str">
        <x:v>Sep</x:v>
      </x:c>
      <x:c r="C25" s="43" t="n">
        <x:f>'Summary'!$C$9/12</x:f>
        <x:v>10000</x:v>
      </x:c>
      <x:c r="D25" s="41" t="str">
        <x:v>CC-4110</x:v>
      </x:c>
      <x:c r="E25" s="41" t="str">
        <x:v>Operations</x:v>
      </x:c>
      <x:c r="F25" s="41" t="str"/>
    </x:row>
    <x:row r="26">
      <x:c r="A26" s="41" t="str">
        <x:v>Travel</x:v>
      </x:c>
      <x:c r="B26" s="41" t="str">
        <x:v>Oct</x:v>
      </x:c>
      <x:c r="C26" s="43" t="n">
        <x:f>'Summary'!$C$9/12</x:f>
        <x:v>10000</x:v>
      </x:c>
      <x:c r="D26" s="41" t="str">
        <x:v>CC-4110</x:v>
      </x:c>
      <x:c r="E26" s="41" t="str">
        <x:v>Operations</x:v>
      </x:c>
      <x:c r="F26" s="41" t="str"/>
    </x:row>
    <x:row r="27">
      <x:c r="A27" s="41" t="str">
        <x:v>Travel</x:v>
      </x:c>
      <x:c r="B27" s="41" t="str">
        <x:v>Nov</x:v>
      </x:c>
      <x:c r="C27" s="43" t="n">
        <x:f>'Summary'!$C$9/12</x:f>
        <x:v>10000</x:v>
      </x:c>
      <x:c r="D27" s="41" t="str">
        <x:v>CC-4110</x:v>
      </x:c>
      <x:c r="E27" s="41" t="str">
        <x:v>Operations</x:v>
      </x:c>
      <x:c r="F27" s="41" t="str"/>
    </x:row>
    <x:row r="28">
      <x:c r="A28" s="41" t="str">
        <x:v>Travel</x:v>
      </x:c>
      <x:c r="B28" s="41" t="str">
        <x:v>Dec</x:v>
      </x:c>
      <x:c r="C28" s="43" t="n">
        <x:f>'Summary'!$C$9/12</x:f>
        <x:v>10000</x:v>
      </x:c>
      <x:c r="D28" s="41" t="str">
        <x:v>CC-4110</x:v>
      </x:c>
      <x:c r="E28" s="41" t="str">
        <x:v>Operations</x:v>
      </x:c>
      <x:c r="F28" s="41" t="str"/>
    </x:row>
    <x:row r="29">
      <x:c r="A29" s="41" t="str">
        <x:v>Software</x:v>
      </x:c>
      <x:c r="B29" s="41" t="str">
        <x:v>Jan</x:v>
      </x:c>
      <x:c r="C29" s="43" t="n">
        <x:f>'Summary'!$C$10/12</x:f>
        <x:v>18333.333333333332</x:v>
      </x:c>
      <x:c r="D29" s="41" t="str">
        <x:v>CC-4120</x:v>
      </x:c>
      <x:c r="E29" s="41" t="str">
        <x:v>Technology</x:v>
      </x:c>
      <x:c r="F29" s="41" t="str">
        <x:v>Approved FY2026 allocation</x:v>
      </x:c>
    </x:row>
    <x:row r="30">
      <x:c r="A30" s="41" t="str">
        <x:v>Software</x:v>
      </x:c>
      <x:c r="B30" s="41" t="str">
        <x:v>Feb</x:v>
      </x:c>
      <x:c r="C30" s="43" t="n">
        <x:f>'Summary'!$C$10/12</x:f>
        <x:v>18333.333333333332</x:v>
      </x:c>
      <x:c r="D30" s="41" t="str">
        <x:v>CC-4120</x:v>
      </x:c>
      <x:c r="E30" s="41" t="str">
        <x:v>Technology</x:v>
      </x:c>
      <x:c r="F30" s="41" t="str"/>
    </x:row>
    <x:row r="31">
      <x:c r="A31" s="41" t="str">
        <x:v>Software</x:v>
      </x:c>
      <x:c r="B31" s="41" t="str">
        <x:v>Mar</x:v>
      </x:c>
      <x:c r="C31" s="43" t="n">
        <x:f>'Summary'!$C$10/12</x:f>
        <x:v>18333.333333333332</x:v>
      </x:c>
      <x:c r="D31" s="41" t="str">
        <x:v>CC-4120</x:v>
      </x:c>
      <x:c r="E31" s="41" t="str">
        <x:v>Technology</x:v>
      </x:c>
      <x:c r="F31" s="41" t="str"/>
    </x:row>
    <x:row r="32">
      <x:c r="A32" s="41" t="str">
        <x:v>Software</x:v>
      </x:c>
      <x:c r="B32" s="41" t="str">
        <x:v>Apr</x:v>
      </x:c>
      <x:c r="C32" s="43" t="n">
        <x:f>'Summary'!$C$10/12</x:f>
        <x:v>18333.333333333332</x:v>
      </x:c>
      <x:c r="D32" s="41" t="str">
        <x:v>CC-4120</x:v>
      </x:c>
      <x:c r="E32" s="41" t="str">
        <x:v>Technology</x:v>
      </x:c>
      <x:c r="F32" s="41" t="str"/>
    </x:row>
    <x:row r="33">
      <x:c r="A33" s="41" t="str">
        <x:v>Software</x:v>
      </x:c>
      <x:c r="B33" s="41" t="str">
        <x:v>May</x:v>
      </x:c>
      <x:c r="C33" s="43" t="n">
        <x:f>'Summary'!$C$10/12</x:f>
        <x:v>18333.333333333332</x:v>
      </x:c>
      <x:c r="D33" s="41" t="str">
        <x:v>CC-4120</x:v>
      </x:c>
      <x:c r="E33" s="41" t="str">
        <x:v>Technology</x:v>
      </x:c>
      <x:c r="F33" s="41" t="str"/>
    </x:row>
    <x:row r="34">
      <x:c r="A34" s="41" t="str">
        <x:v>Software</x:v>
      </x:c>
      <x:c r="B34" s="41" t="str">
        <x:v>Jun</x:v>
      </x:c>
      <x:c r="C34" s="43" t="n">
        <x:f>'Summary'!$C$10/12</x:f>
        <x:v>18333.333333333332</x:v>
      </x:c>
      <x:c r="D34" s="41" t="str">
        <x:v>CC-4120</x:v>
      </x:c>
      <x:c r="E34" s="41" t="str">
        <x:v>Technology</x:v>
      </x:c>
      <x:c r="F34" s="41" t="str"/>
    </x:row>
    <x:row r="35">
      <x:c r="A35" s="41" t="str">
        <x:v>Software</x:v>
      </x:c>
      <x:c r="B35" s="41" t="str">
        <x:v>Jul</x:v>
      </x:c>
      <x:c r="C35" s="43" t="n">
        <x:f>'Summary'!$C$10/12</x:f>
        <x:v>18333.333333333332</x:v>
      </x:c>
      <x:c r="D35" s="41" t="str">
        <x:v>CC-4120</x:v>
      </x:c>
      <x:c r="E35" s="41" t="str">
        <x:v>Technology</x:v>
      </x:c>
      <x:c r="F35" s="41" t="str"/>
    </x:row>
    <x:row r="36">
      <x:c r="A36" s="41" t="str">
        <x:v>Software</x:v>
      </x:c>
      <x:c r="B36" s="41" t="str">
        <x:v>Aug</x:v>
      </x:c>
      <x:c r="C36" s="43" t="n">
        <x:f>'Summary'!$C$10/12</x:f>
        <x:v>18333.333333333332</x:v>
      </x:c>
      <x:c r="D36" s="41" t="str">
        <x:v>CC-4120</x:v>
      </x:c>
      <x:c r="E36" s="41" t="str">
        <x:v>Technology</x:v>
      </x:c>
      <x:c r="F36" s="41" t="str"/>
    </x:row>
    <x:row r="37">
      <x:c r="A37" s="41" t="str">
        <x:v>Software</x:v>
      </x:c>
      <x:c r="B37" s="41" t="str">
        <x:v>Sep</x:v>
      </x:c>
      <x:c r="C37" s="43" t="n">
        <x:f>'Summary'!$C$10/12</x:f>
        <x:v>18333.333333333332</x:v>
      </x:c>
      <x:c r="D37" s="41" t="str">
        <x:v>CC-4120</x:v>
      </x:c>
      <x:c r="E37" s="41" t="str">
        <x:v>Technology</x:v>
      </x:c>
      <x:c r="F37" s="41" t="str"/>
    </x:row>
    <x:row r="38">
      <x:c r="A38" s="41" t="str">
        <x:v>Software</x:v>
      </x:c>
      <x:c r="B38" s="41" t="str">
        <x:v>Oct</x:v>
      </x:c>
      <x:c r="C38" s="43" t="n">
        <x:f>'Summary'!$C$10/12</x:f>
        <x:v>18333.333333333332</x:v>
      </x:c>
      <x:c r="D38" s="41" t="str">
        <x:v>CC-4120</x:v>
      </x:c>
      <x:c r="E38" s="41" t="str">
        <x:v>Technology</x:v>
      </x:c>
      <x:c r="F38" s="41" t="str"/>
    </x:row>
    <x:row r="39">
      <x:c r="A39" s="41" t="str">
        <x:v>Software</x:v>
      </x:c>
      <x:c r="B39" s="41" t="str">
        <x:v>Nov</x:v>
      </x:c>
      <x:c r="C39" s="43" t="n">
        <x:f>'Summary'!$C$10/12</x:f>
        <x:v>18333.333333333332</x:v>
      </x:c>
      <x:c r="D39" s="41" t="str">
        <x:v>CC-4120</x:v>
      </x:c>
      <x:c r="E39" s="41" t="str">
        <x:v>Technology</x:v>
      </x:c>
      <x:c r="F39" s="41" t="str"/>
    </x:row>
    <x:row r="40">
      <x:c r="A40" s="41" t="str">
        <x:v>Software</x:v>
      </x:c>
      <x:c r="B40" s="41" t="str">
        <x:v>Dec</x:v>
      </x:c>
      <x:c r="C40" s="43" t="n">
        <x:f>'Summary'!$C$10/12</x:f>
        <x:v>18333.333333333332</x:v>
      </x:c>
      <x:c r="D40" s="41" t="str">
        <x:v>CC-4120</x:v>
      </x:c>
      <x:c r="E40" s="41" t="str">
        <x:v>Technology</x:v>
      </x:c>
      <x:c r="F40" s="41" t="str"/>
    </x:row>
    <x:row r="41">
      <x:c r="A41" s="41" t="str">
        <x:v>Facilities</x:v>
      </x:c>
      <x:c r="B41" s="41" t="str">
        <x:v>Jan</x:v>
      </x:c>
      <x:c r="C41" s="43" t="n">
        <x:f>'Summary'!$C$11/12</x:f>
        <x:v>13333.333333333334</x:v>
      </x:c>
      <x:c r="D41" s="41" t="str">
        <x:v>CC-4130</x:v>
      </x:c>
      <x:c r="E41" s="41" t="str">
        <x:v>Workplace</x:v>
      </x:c>
      <x:c r="F41" s="41" t="str">
        <x:v>Approved FY2026 allocation</x:v>
      </x:c>
    </x:row>
    <x:row r="42">
      <x:c r="A42" s="41" t="str">
        <x:v>Facilities</x:v>
      </x:c>
      <x:c r="B42" s="41" t="str">
        <x:v>Feb</x:v>
      </x:c>
      <x:c r="C42" s="43" t="n">
        <x:f>'Summary'!$C$11/12</x:f>
        <x:v>13333.333333333334</x:v>
      </x:c>
      <x:c r="D42" s="41" t="str">
        <x:v>CC-4130</x:v>
      </x:c>
      <x:c r="E42" s="41" t="str">
        <x:v>Workplace</x:v>
      </x:c>
      <x:c r="F42" s="41" t="str"/>
    </x:row>
    <x:row r="43">
      <x:c r="A43" s="41" t="str">
        <x:v>Facilities</x:v>
      </x:c>
      <x:c r="B43" s="41" t="str">
        <x:v>Mar</x:v>
      </x:c>
      <x:c r="C43" s="43" t="n">
        <x:f>'Summary'!$C$11/12</x:f>
        <x:v>13333.333333333334</x:v>
      </x:c>
      <x:c r="D43" s="41" t="str">
        <x:v>CC-4130</x:v>
      </x:c>
      <x:c r="E43" s="41" t="str">
        <x:v>Workplace</x:v>
      </x:c>
      <x:c r="F43" s="41" t="str"/>
    </x:row>
    <x:row r="44">
      <x:c r="A44" s="41" t="str">
        <x:v>Facilities</x:v>
      </x:c>
      <x:c r="B44" s="41" t="str">
        <x:v>Apr</x:v>
      </x:c>
      <x:c r="C44" s="43" t="n">
        <x:f>'Summary'!$C$11/12</x:f>
        <x:v>13333.333333333334</x:v>
      </x:c>
      <x:c r="D44" s="41" t="str">
        <x:v>CC-4130</x:v>
      </x:c>
      <x:c r="E44" s="41" t="str">
        <x:v>Workplace</x:v>
      </x:c>
      <x:c r="F44" s="41" t="str"/>
    </x:row>
    <x:row r="45">
      <x:c r="A45" s="41" t="str">
        <x:v>Facilities</x:v>
      </x:c>
      <x:c r="B45" s="41" t="str">
        <x:v>May</x:v>
      </x:c>
      <x:c r="C45" s="43" t="n">
        <x:f>'Summary'!$C$11/12</x:f>
        <x:v>13333.333333333334</x:v>
      </x:c>
      <x:c r="D45" s="41" t="str">
        <x:v>CC-4130</x:v>
      </x:c>
      <x:c r="E45" s="41" t="str">
        <x:v>Workplace</x:v>
      </x:c>
      <x:c r="F45" s="41" t="str"/>
    </x:row>
    <x:row r="46">
      <x:c r="A46" s="41" t="str">
        <x:v>Facilities</x:v>
      </x:c>
      <x:c r="B46" s="41" t="str">
        <x:v>Jun</x:v>
      </x:c>
      <x:c r="C46" s="43" t="n">
        <x:f>'Summary'!$C$11/12</x:f>
        <x:v>13333.333333333334</x:v>
      </x:c>
      <x:c r="D46" s="41" t="str">
        <x:v>CC-4130</x:v>
      </x:c>
      <x:c r="E46" s="41" t="str">
        <x:v>Workplace</x:v>
      </x:c>
      <x:c r="F46" s="41" t="str"/>
    </x:row>
    <x:row r="47">
      <x:c r="A47" s="41" t="str">
        <x:v>Facilities</x:v>
      </x:c>
      <x:c r="B47" s="41" t="str">
        <x:v>Jul</x:v>
      </x:c>
      <x:c r="C47" s="43" t="n">
        <x:f>'Summary'!$C$11/12</x:f>
        <x:v>13333.333333333334</x:v>
      </x:c>
      <x:c r="D47" s="41" t="str">
        <x:v>CC-4130</x:v>
      </x:c>
      <x:c r="E47" s="41" t="str">
        <x:v>Workplace</x:v>
      </x:c>
      <x:c r="F47" s="41" t="str"/>
    </x:row>
    <x:row r="48">
      <x:c r="A48" s="41" t="str">
        <x:v>Facilities</x:v>
      </x:c>
      <x:c r="B48" s="41" t="str">
        <x:v>Aug</x:v>
      </x:c>
      <x:c r="C48" s="43" t="n">
        <x:f>'Summary'!$C$11/12</x:f>
        <x:v>13333.333333333334</x:v>
      </x:c>
      <x:c r="D48" s="41" t="str">
        <x:v>CC-4130</x:v>
      </x:c>
      <x:c r="E48" s="41" t="str">
        <x:v>Workplace</x:v>
      </x:c>
      <x:c r="F48" s="41" t="str"/>
    </x:row>
    <x:row r="49">
      <x:c r="A49" s="41" t="str">
        <x:v>Facilities</x:v>
      </x:c>
      <x:c r="B49" s="41" t="str">
        <x:v>Sep</x:v>
      </x:c>
      <x:c r="C49" s="43" t="n">
        <x:f>'Summary'!$C$11/12</x:f>
        <x:v>13333.333333333334</x:v>
      </x:c>
      <x:c r="D49" s="41" t="str">
        <x:v>CC-4130</x:v>
      </x:c>
      <x:c r="E49" s="41" t="str">
        <x:v>Workplace</x:v>
      </x:c>
      <x:c r="F49" s="41" t="str"/>
    </x:row>
    <x:row r="50">
      <x:c r="A50" s="41" t="str">
        <x:v>Facilities</x:v>
      </x:c>
      <x:c r="B50" s="41" t="str">
        <x:v>Oct</x:v>
      </x:c>
      <x:c r="C50" s="43" t="n">
        <x:f>'Summary'!$C$11/12</x:f>
        <x:v>13333.333333333334</x:v>
      </x:c>
      <x:c r="D50" s="41" t="str">
        <x:v>CC-4130</x:v>
      </x:c>
      <x:c r="E50" s="41" t="str">
        <x:v>Workplace</x:v>
      </x:c>
      <x:c r="F50" s="41" t="str"/>
    </x:row>
    <x:row r="51">
      <x:c r="A51" s="41" t="str">
        <x:v>Facilities</x:v>
      </x:c>
      <x:c r="B51" s="41" t="str">
        <x:v>Nov</x:v>
      </x:c>
      <x:c r="C51" s="43" t="n">
        <x:f>'Summary'!$C$11/12</x:f>
        <x:v>13333.333333333334</x:v>
      </x:c>
      <x:c r="D51" s="41" t="str">
        <x:v>CC-4130</x:v>
      </x:c>
      <x:c r="E51" s="41" t="str">
        <x:v>Workplace</x:v>
      </x:c>
      <x:c r="F51" s="41" t="str"/>
    </x:row>
    <x:row r="52">
      <x:c r="A52" s="41" t="str">
        <x:v>Facilities</x:v>
      </x:c>
      <x:c r="B52" s="41" t="str">
        <x:v>Dec</x:v>
      </x:c>
      <x:c r="C52" s="43" t="n">
        <x:f>'Summary'!$C$11/12</x:f>
        <x:v>13333.333333333334</x:v>
      </x:c>
      <x:c r="D52" s="41" t="str">
        <x:v>CC-4130</x:v>
      </x:c>
      <x:c r="E52" s="41" t="str">
        <x:v>Workplace</x:v>
      </x:c>
      <x:c r="F52" s="41" t="str"/>
    </x:row>
    <x:row r="53">
      <x:c r="A53" s="41" t="str">
        <x:v>Professional Services</x:v>
      </x:c>
      <x:c r="B53" s="41" t="str">
        <x:v>Jan</x:v>
      </x:c>
      <x:c r="C53" s="43" t="n">
        <x:f>'Summary'!$C$12/12</x:f>
        <x:v>8333.333333333334</x:v>
      </x:c>
      <x:c r="D53" s="41" t="str">
        <x:v>CC-4140</x:v>
      </x:c>
      <x:c r="E53" s="41" t="str">
        <x:v>Legal</x:v>
      </x:c>
      <x:c r="F53" s="41" t="str">
        <x:v>Approved FY2026 allocation</x:v>
      </x:c>
    </x:row>
    <x:row r="54">
      <x:c r="A54" s="41" t="str">
        <x:v>Professional Services</x:v>
      </x:c>
      <x:c r="B54" s="41" t="str">
        <x:v>Feb</x:v>
      </x:c>
      <x:c r="C54" s="43" t="n">
        <x:f>'Summary'!$C$12/12</x:f>
        <x:v>8333.333333333334</x:v>
      </x:c>
      <x:c r="D54" s="41" t="str">
        <x:v>CC-4140</x:v>
      </x:c>
      <x:c r="E54" s="41" t="str">
        <x:v>Legal</x:v>
      </x:c>
      <x:c r="F54" s="41" t="str"/>
    </x:row>
    <x:row r="55">
      <x:c r="A55" s="41" t="str">
        <x:v>Professional Services</x:v>
      </x:c>
      <x:c r="B55" s="41" t="str">
        <x:v>Mar</x:v>
      </x:c>
      <x:c r="C55" s="43" t="n">
        <x:f>'Summary'!$C$12/12</x:f>
        <x:v>8333.333333333334</x:v>
      </x:c>
      <x:c r="D55" s="41" t="str">
        <x:v>CC-4140</x:v>
      </x:c>
      <x:c r="E55" s="41" t="str">
        <x:v>Legal</x:v>
      </x:c>
      <x:c r="F55" s="41" t="str"/>
    </x:row>
    <x:row r="56">
      <x:c r="A56" s="41" t="str">
        <x:v>Professional Services</x:v>
      </x:c>
      <x:c r="B56" s="41" t="str">
        <x:v>Apr</x:v>
      </x:c>
      <x:c r="C56" s="43" t="n">
        <x:f>'Summary'!$C$12/12</x:f>
        <x:v>8333.333333333334</x:v>
      </x:c>
      <x:c r="D56" s="41" t="str">
        <x:v>CC-4140</x:v>
      </x:c>
      <x:c r="E56" s="41" t="str">
        <x:v>Legal</x:v>
      </x:c>
      <x:c r="F56" s="41" t="str"/>
    </x:row>
    <x:row r="57">
      <x:c r="A57" s="41" t="str">
        <x:v>Professional Services</x:v>
      </x:c>
      <x:c r="B57" s="41" t="str">
        <x:v>May</x:v>
      </x:c>
      <x:c r="C57" s="43" t="n">
        <x:f>'Summary'!$C$12/12</x:f>
        <x:v>8333.333333333334</x:v>
      </x:c>
      <x:c r="D57" s="41" t="str">
        <x:v>CC-4140</x:v>
      </x:c>
      <x:c r="E57" s="41" t="str">
        <x:v>Legal</x:v>
      </x:c>
      <x:c r="F57" s="41" t="str"/>
    </x:row>
    <x:row r="58">
      <x:c r="A58" s="41" t="str">
        <x:v>Professional Services</x:v>
      </x:c>
      <x:c r="B58" s="41" t="str">
        <x:v>Jun</x:v>
      </x:c>
      <x:c r="C58" s="43" t="n">
        <x:f>'Summary'!$C$12/12</x:f>
        <x:v>8333.333333333334</x:v>
      </x:c>
      <x:c r="D58" s="41" t="str">
        <x:v>CC-4140</x:v>
      </x:c>
      <x:c r="E58" s="41" t="str">
        <x:v>Legal</x:v>
      </x:c>
      <x:c r="F58" s="41" t="str"/>
    </x:row>
    <x:row r="59">
      <x:c r="A59" s="41" t="str">
        <x:v>Professional Services</x:v>
      </x:c>
      <x:c r="B59" s="41" t="str">
        <x:v>Jul</x:v>
      </x:c>
      <x:c r="C59" s="43" t="n">
        <x:f>'Summary'!$C$12/12</x:f>
        <x:v>8333.333333333334</x:v>
      </x:c>
      <x:c r="D59" s="41" t="str">
        <x:v>CC-4140</x:v>
      </x:c>
      <x:c r="E59" s="41" t="str">
        <x:v>Legal</x:v>
      </x:c>
      <x:c r="F59" s="41" t="str"/>
    </x:row>
    <x:row r="60">
      <x:c r="A60" s="41" t="str">
        <x:v>Professional Services</x:v>
      </x:c>
      <x:c r="B60" s="41" t="str">
        <x:v>Aug</x:v>
      </x:c>
      <x:c r="C60" s="43" t="n">
        <x:f>'Summary'!$C$12/12</x:f>
        <x:v>8333.333333333334</x:v>
      </x:c>
      <x:c r="D60" s="41" t="str">
        <x:v>CC-4140</x:v>
      </x:c>
      <x:c r="E60" s="41" t="str">
        <x:v>Legal</x:v>
      </x:c>
      <x:c r="F60" s="41" t="str"/>
    </x:row>
    <x:row r="61">
      <x:c r="A61" s="41" t="str">
        <x:v>Professional Services</x:v>
      </x:c>
      <x:c r="B61" s="41" t="str">
        <x:v>Sep</x:v>
      </x:c>
      <x:c r="C61" s="43" t="n">
        <x:f>'Summary'!$C$12/12</x:f>
        <x:v>8333.333333333334</x:v>
      </x:c>
      <x:c r="D61" s="41" t="str">
        <x:v>CC-4140</x:v>
      </x:c>
      <x:c r="E61" s="41" t="str">
        <x:v>Legal</x:v>
      </x:c>
      <x:c r="F61" s="41" t="str"/>
    </x:row>
    <x:row r="62">
      <x:c r="A62" s="41" t="str">
        <x:v>Professional Services</x:v>
      </x:c>
      <x:c r="B62" s="41" t="str">
        <x:v>Oct</x:v>
      </x:c>
      <x:c r="C62" s="43" t="n">
        <x:f>'Summary'!$C$12/12</x:f>
        <x:v>8333.333333333334</x:v>
      </x:c>
      <x:c r="D62" s="41" t="str">
        <x:v>CC-4140</x:v>
      </x:c>
      <x:c r="E62" s="41" t="str">
        <x:v>Legal</x:v>
      </x:c>
      <x:c r="F62" s="41" t="str"/>
    </x:row>
    <x:row r="63">
      <x:c r="A63" s="41" t="str">
        <x:v>Professional Services</x:v>
      </x:c>
      <x:c r="B63" s="41" t="str">
        <x:v>Nov</x:v>
      </x:c>
      <x:c r="C63" s="43" t="n">
        <x:f>'Summary'!$C$12/12</x:f>
        <x:v>8333.333333333334</x:v>
      </x:c>
      <x:c r="D63" s="41" t="str">
        <x:v>CC-4140</x:v>
      </x:c>
      <x:c r="E63" s="41" t="str">
        <x:v>Legal</x:v>
      </x:c>
      <x:c r="F63" s="41" t="str"/>
    </x:row>
    <x:row r="64">
      <x:c r="A64" s="41" t="str">
        <x:v>Professional Services</x:v>
      </x:c>
      <x:c r="B64" s="41" t="str">
        <x:v>Dec</x:v>
      </x:c>
      <x:c r="C64" s="43" t="n">
        <x:f>'Summary'!$C$12/12</x:f>
        <x:v>8333.333333333334</x:v>
      </x:c>
      <x:c r="D64" s="41" t="str">
        <x:v>CC-4140</x:v>
      </x:c>
      <x:c r="E64" s="41" t="str">
        <x:v>Legal</x:v>
      </x:c>
      <x:c r="F64" s="41" t="str"/>
    </x:row>
    <x:row r="65">
      <x:c r="A65" s="41" t="str">
        <x:v>Marketing</x:v>
      </x:c>
      <x:c r="B65" s="41" t="str">
        <x:v>Jan</x:v>
      </x:c>
      <x:c r="C65" s="43" t="n">
        <x:f>'Summary'!$C$13/12</x:f>
        <x:v>7500</x:v>
      </x:c>
      <x:c r="D65" s="41" t="str">
        <x:v>CC-4150</x:v>
      </x:c>
      <x:c r="E65" s="41" t="str">
        <x:v>Marketing</x:v>
      </x:c>
      <x:c r="F65" s="41" t="str">
        <x:v>Approved FY2026 allocation</x:v>
      </x:c>
    </x:row>
    <x:row r="66">
      <x:c r="A66" s="41" t="str">
        <x:v>Marketing</x:v>
      </x:c>
      <x:c r="B66" s="41" t="str">
        <x:v>Feb</x:v>
      </x:c>
      <x:c r="C66" s="43" t="n">
        <x:f>'Summary'!$C$13/12</x:f>
        <x:v>7500</x:v>
      </x:c>
      <x:c r="D66" s="41" t="str">
        <x:v>CC-4150</x:v>
      </x:c>
      <x:c r="E66" s="41" t="str">
        <x:v>Marketing</x:v>
      </x:c>
      <x:c r="F66" s="41" t="str"/>
    </x:row>
    <x:row r="67">
      <x:c r="A67" s="41" t="str">
        <x:v>Marketing</x:v>
      </x:c>
      <x:c r="B67" s="41" t="str">
        <x:v>Mar</x:v>
      </x:c>
      <x:c r="C67" s="43" t="n">
        <x:f>'Summary'!$C$13/12</x:f>
        <x:v>7500</x:v>
      </x:c>
      <x:c r="D67" s="41" t="str">
        <x:v>CC-4150</x:v>
      </x:c>
      <x:c r="E67" s="41" t="str">
        <x:v>Marketing</x:v>
      </x:c>
      <x:c r="F67" s="41" t="str"/>
    </x:row>
    <x:row r="68">
      <x:c r="A68" s="41" t="str">
        <x:v>Marketing</x:v>
      </x:c>
      <x:c r="B68" s="41" t="str">
        <x:v>Apr</x:v>
      </x:c>
      <x:c r="C68" s="43" t="n">
        <x:f>'Summary'!$C$13/12</x:f>
        <x:v>7500</x:v>
      </x:c>
      <x:c r="D68" s="41" t="str">
        <x:v>CC-4150</x:v>
      </x:c>
      <x:c r="E68" s="41" t="str">
        <x:v>Marketing</x:v>
      </x:c>
      <x:c r="F68" s="41" t="str"/>
    </x:row>
    <x:row r="69">
      <x:c r="A69" s="41" t="str">
        <x:v>Marketing</x:v>
      </x:c>
      <x:c r="B69" s="41" t="str">
        <x:v>May</x:v>
      </x:c>
      <x:c r="C69" s="43" t="n">
        <x:f>'Summary'!$C$13/12</x:f>
        <x:v>7500</x:v>
      </x:c>
      <x:c r="D69" s="41" t="str">
        <x:v>CC-4150</x:v>
      </x:c>
      <x:c r="E69" s="41" t="str">
        <x:v>Marketing</x:v>
      </x:c>
      <x:c r="F69" s="41" t="str"/>
    </x:row>
    <x:row r="70">
      <x:c r="A70" s="41" t="str">
        <x:v>Marketing</x:v>
      </x:c>
      <x:c r="B70" s="41" t="str">
        <x:v>Jun</x:v>
      </x:c>
      <x:c r="C70" s="43" t="n">
        <x:f>'Summary'!$C$13/12</x:f>
        <x:v>7500</x:v>
      </x:c>
      <x:c r="D70" s="41" t="str">
        <x:v>CC-4150</x:v>
      </x:c>
      <x:c r="E70" s="41" t="str">
        <x:v>Marketing</x:v>
      </x:c>
      <x:c r="F70" s="41" t="str"/>
    </x:row>
    <x:row r="71">
      <x:c r="A71" s="41" t="str">
        <x:v>Marketing</x:v>
      </x:c>
      <x:c r="B71" s="41" t="str">
        <x:v>Jul</x:v>
      </x:c>
      <x:c r="C71" s="43" t="n">
        <x:f>'Summary'!$C$13/12</x:f>
        <x:v>7500</x:v>
      </x:c>
      <x:c r="D71" s="41" t="str">
        <x:v>CC-4150</x:v>
      </x:c>
      <x:c r="E71" s="41" t="str">
        <x:v>Marketing</x:v>
      </x:c>
      <x:c r="F71" s="41" t="str"/>
    </x:row>
    <x:row r="72">
      <x:c r="A72" s="41" t="str">
        <x:v>Marketing</x:v>
      </x:c>
      <x:c r="B72" s="41" t="str">
        <x:v>Aug</x:v>
      </x:c>
      <x:c r="C72" s="43" t="n">
        <x:f>'Summary'!$C$13/12</x:f>
        <x:v>7500</x:v>
      </x:c>
      <x:c r="D72" s="41" t="str">
        <x:v>CC-4150</x:v>
      </x:c>
      <x:c r="E72" s="41" t="str">
        <x:v>Marketing</x:v>
      </x:c>
      <x:c r="F72" s="41" t="str"/>
    </x:row>
    <x:row r="73">
      <x:c r="A73" s="41" t="str">
        <x:v>Marketing</x:v>
      </x:c>
      <x:c r="B73" s="41" t="str">
        <x:v>Sep</x:v>
      </x:c>
      <x:c r="C73" s="43" t="n">
        <x:f>'Summary'!$C$13/12</x:f>
        <x:v>7500</x:v>
      </x:c>
      <x:c r="D73" s="41" t="str">
        <x:v>CC-4150</x:v>
      </x:c>
      <x:c r="E73" s="41" t="str">
        <x:v>Marketing</x:v>
      </x:c>
      <x:c r="F73" s="41" t="str"/>
    </x:row>
    <x:row r="74">
      <x:c r="A74" s="41" t="str">
        <x:v>Marketing</x:v>
      </x:c>
      <x:c r="B74" s="41" t="str">
        <x:v>Oct</x:v>
      </x:c>
      <x:c r="C74" s="43" t="n">
        <x:f>'Summary'!$C$13/12</x:f>
        <x:v>7500</x:v>
      </x:c>
      <x:c r="D74" s="41" t="str">
        <x:v>CC-4150</x:v>
      </x:c>
      <x:c r="E74" s="41" t="str">
        <x:v>Marketing</x:v>
      </x:c>
      <x:c r="F74" s="41" t="str"/>
    </x:row>
    <x:row r="75">
      <x:c r="A75" s="41" t="str">
        <x:v>Marketing</x:v>
      </x:c>
      <x:c r="B75" s="41" t="str">
        <x:v>Nov</x:v>
      </x:c>
      <x:c r="C75" s="43" t="n">
        <x:f>'Summary'!$C$13/12</x:f>
        <x:v>7500</x:v>
      </x:c>
      <x:c r="D75" s="41" t="str">
        <x:v>CC-4150</x:v>
      </x:c>
      <x:c r="E75" s="41" t="str">
        <x:v>Marketing</x:v>
      </x:c>
      <x:c r="F75" s="41" t="str"/>
    </x:row>
    <x:row r="76">
      <x:c r="A76" s="41" t="str">
        <x:v>Marketing</x:v>
      </x:c>
      <x:c r="B76" s="41" t="str">
        <x:v>Dec</x:v>
      </x:c>
      <x:c r="C76" s="43" t="n">
        <x:f>'Summary'!$C$13/12</x:f>
        <x:v>7500</x:v>
      </x:c>
      <x:c r="D76" s="41" t="str">
        <x:v>CC-4150</x:v>
      </x:c>
      <x:c r="E76" s="41" t="str">
        <x:v>Marketing</x:v>
      </x:c>
      <x:c r="F76" s="41" t="str"/>
    </x:row>
    <x:row r="77">
      <x:c r="A77" s="41" t="str">
        <x:v>Learning</x:v>
      </x:c>
      <x:c r="B77" s="41" t="str">
        <x:v>Jan</x:v>
      </x:c>
      <x:c r="C77" s="43" t="n">
        <x:f>'Summary'!$C$14/12</x:f>
        <x:v>3333.3333333333335</x:v>
      </x:c>
      <x:c r="D77" s="41" t="str">
        <x:v>CC-4160</x:v>
      </x:c>
      <x:c r="E77" s="41" t="str">
        <x:v>People Operations</x:v>
      </x:c>
      <x:c r="F77" s="41" t="str">
        <x:v>Approved FY2026 allocation</x:v>
      </x:c>
    </x:row>
    <x:row r="78">
      <x:c r="A78" s="41" t="str">
        <x:v>Learning</x:v>
      </x:c>
      <x:c r="B78" s="41" t="str">
        <x:v>Feb</x:v>
      </x:c>
      <x:c r="C78" s="43" t="n">
        <x:f>'Summary'!$C$14/12</x:f>
        <x:v>3333.3333333333335</x:v>
      </x:c>
      <x:c r="D78" s="41" t="str">
        <x:v>CC-4160</x:v>
      </x:c>
      <x:c r="E78" s="41" t="str">
        <x:v>People Operations</x:v>
      </x:c>
      <x:c r="F78" s="41" t="str"/>
    </x:row>
    <x:row r="79">
      <x:c r="A79" s="41" t="str">
        <x:v>Learning</x:v>
      </x:c>
      <x:c r="B79" s="41" t="str">
        <x:v>Mar</x:v>
      </x:c>
      <x:c r="C79" s="43" t="n">
        <x:f>'Summary'!$C$14/12</x:f>
        <x:v>3333.3333333333335</x:v>
      </x:c>
      <x:c r="D79" s="41" t="str">
        <x:v>CC-4160</x:v>
      </x:c>
      <x:c r="E79" s="41" t="str">
        <x:v>People Operations</x:v>
      </x:c>
      <x:c r="F79" s="41" t="str"/>
    </x:row>
    <x:row r="80">
      <x:c r="A80" s="41" t="str">
        <x:v>Learning</x:v>
      </x:c>
      <x:c r="B80" s="41" t="str">
        <x:v>Apr</x:v>
      </x:c>
      <x:c r="C80" s="43" t="n">
        <x:f>'Summary'!$C$14/12</x:f>
        <x:v>3333.3333333333335</x:v>
      </x:c>
      <x:c r="D80" s="41" t="str">
        <x:v>CC-4160</x:v>
      </x:c>
      <x:c r="E80" s="41" t="str">
        <x:v>People Operations</x:v>
      </x:c>
      <x:c r="F80" s="41" t="str"/>
    </x:row>
    <x:row r="81">
      <x:c r="A81" s="41" t="str">
        <x:v>Learning</x:v>
      </x:c>
      <x:c r="B81" s="41" t="str">
        <x:v>May</x:v>
      </x:c>
      <x:c r="C81" s="43" t="n">
        <x:f>'Summary'!$C$14/12</x:f>
        <x:v>3333.3333333333335</x:v>
      </x:c>
      <x:c r="D81" s="41" t="str">
        <x:v>CC-4160</x:v>
      </x:c>
      <x:c r="E81" s="41" t="str">
        <x:v>People Operations</x:v>
      </x:c>
      <x:c r="F81" s="41" t="str"/>
    </x:row>
    <x:row r="82">
      <x:c r="A82" s="41" t="str">
        <x:v>Learning</x:v>
      </x:c>
      <x:c r="B82" s="41" t="str">
        <x:v>Jun</x:v>
      </x:c>
      <x:c r="C82" s="43" t="n">
        <x:f>'Summary'!$C$14/12</x:f>
        <x:v>3333.3333333333335</x:v>
      </x:c>
      <x:c r="D82" s="41" t="str">
        <x:v>CC-4160</x:v>
      </x:c>
      <x:c r="E82" s="41" t="str">
        <x:v>People Operations</x:v>
      </x:c>
      <x:c r="F82" s="41" t="str"/>
    </x:row>
    <x:row r="83">
      <x:c r="A83" s="41" t="str">
        <x:v>Learning</x:v>
      </x:c>
      <x:c r="B83" s="41" t="str">
        <x:v>Jul</x:v>
      </x:c>
      <x:c r="C83" s="43" t="n">
        <x:f>'Summary'!$C$14/12</x:f>
        <x:v>3333.3333333333335</x:v>
      </x:c>
      <x:c r="D83" s="41" t="str">
        <x:v>CC-4160</x:v>
      </x:c>
      <x:c r="E83" s="41" t="str">
        <x:v>People Operations</x:v>
      </x:c>
      <x:c r="F83" s="41" t="str"/>
    </x:row>
    <x:row r="84">
      <x:c r="A84" s="41" t="str">
        <x:v>Learning</x:v>
      </x:c>
      <x:c r="B84" s="41" t="str">
        <x:v>Aug</x:v>
      </x:c>
      <x:c r="C84" s="43" t="n">
        <x:f>'Summary'!$C$14/12</x:f>
        <x:v>3333.3333333333335</x:v>
      </x:c>
      <x:c r="D84" s="41" t="str">
        <x:v>CC-4160</x:v>
      </x:c>
      <x:c r="E84" s="41" t="str">
        <x:v>People Operations</x:v>
      </x:c>
      <x:c r="F84" s="41" t="str"/>
    </x:row>
    <x:row r="85">
      <x:c r="A85" s="41" t="str">
        <x:v>Learning</x:v>
      </x:c>
      <x:c r="B85" s="41" t="str">
        <x:v>Sep</x:v>
      </x:c>
      <x:c r="C85" s="43" t="n">
        <x:f>'Summary'!$C$14/12</x:f>
        <x:v>3333.3333333333335</x:v>
      </x:c>
      <x:c r="D85" s="41" t="str">
        <x:v>CC-4160</x:v>
      </x:c>
      <x:c r="E85" s="41" t="str">
        <x:v>People Operations</x:v>
      </x:c>
      <x:c r="F85" s="41" t="str"/>
    </x:row>
    <x:row r="86">
      <x:c r="A86" s="41" t="str">
        <x:v>Learning</x:v>
      </x:c>
      <x:c r="B86" s="41" t="str">
        <x:v>Oct</x:v>
      </x:c>
      <x:c r="C86" s="43" t="n">
        <x:f>'Summary'!$C$14/12</x:f>
        <x:v>3333.3333333333335</x:v>
      </x:c>
      <x:c r="D86" s="41" t="str">
        <x:v>CC-4160</x:v>
      </x:c>
      <x:c r="E86" s="41" t="str">
        <x:v>People Operations</x:v>
      </x:c>
      <x:c r="F86" s="41" t="str"/>
    </x:row>
    <x:row r="87">
      <x:c r="A87" s="41" t="str">
        <x:v>Learning</x:v>
      </x:c>
      <x:c r="B87" s="41" t="str">
        <x:v>Nov</x:v>
      </x:c>
      <x:c r="C87" s="43" t="n">
        <x:f>'Summary'!$C$14/12</x:f>
        <x:v>3333.3333333333335</x:v>
      </x:c>
      <x:c r="D87" s="41" t="str">
        <x:v>CC-4160</x:v>
      </x:c>
      <x:c r="E87" s="41" t="str">
        <x:v>People Operations</x:v>
      </x:c>
      <x:c r="F87" s="41" t="str"/>
    </x:row>
    <x:row r="88">
      <x:c r="A88" s="41" t="str">
        <x:v>Learning</x:v>
      </x:c>
      <x:c r="B88" s="41" t="str">
        <x:v>Dec</x:v>
      </x:c>
      <x:c r="C88" s="43" t="n">
        <x:f>'Summary'!$C$14/12</x:f>
        <x:v>3333.3333333333335</x:v>
      </x:c>
      <x:c r="D88" s="41" t="str">
        <x:v>CC-4160</x:v>
      </x:c>
      <x:c r="E88" s="41" t="str">
        <x:v>People Operations</x:v>
      </x:c>
      <x:c r="F88" s="41" t="str"/>
    </x:row>
    <x:row r="89">
      <x:c r="A89" s="41" t="str">
        <x:v>Contingency</x:v>
      </x:c>
      <x:c r="B89" s="41" t="str">
        <x:v>Jan</x:v>
      </x:c>
      <x:c r="C89" s="43" t="n">
        <x:f>'Summary'!$C$15/12</x:f>
        <x:v>5833.333333333333</x:v>
      </x:c>
      <x:c r="D89" s="41" t="str">
        <x:v>CC-4170</x:v>
      </x:c>
      <x:c r="E89" s="41" t="str">
        <x:v>CFO</x:v>
      </x:c>
      <x:c r="F89" s="41" t="str">
        <x:v>Approved FY2026 allocation</x:v>
      </x:c>
    </x:row>
    <x:row r="90">
      <x:c r="A90" s="41" t="str">
        <x:v>Contingency</x:v>
      </x:c>
      <x:c r="B90" s="41" t="str">
        <x:v>Feb</x:v>
      </x:c>
      <x:c r="C90" s="43" t="n">
        <x:f>'Summary'!$C$15/12</x:f>
        <x:v>5833.333333333333</x:v>
      </x:c>
      <x:c r="D90" s="41" t="str">
        <x:v>CC-4170</x:v>
      </x:c>
      <x:c r="E90" s="41" t="str">
        <x:v>CFO</x:v>
      </x:c>
      <x:c r="F90" s="41" t="str"/>
    </x:row>
    <x:row r="91">
      <x:c r="A91" s="41" t="str">
        <x:v>Contingency</x:v>
      </x:c>
      <x:c r="B91" s="41" t="str">
        <x:v>Mar</x:v>
      </x:c>
      <x:c r="C91" s="43" t="n">
        <x:f>'Summary'!$C$15/12</x:f>
        <x:v>5833.333333333333</x:v>
      </x:c>
      <x:c r="D91" s="41" t="str">
        <x:v>CC-4170</x:v>
      </x:c>
      <x:c r="E91" s="41" t="str">
        <x:v>CFO</x:v>
      </x:c>
      <x:c r="F91" s="41" t="str"/>
    </x:row>
    <x:row r="92">
      <x:c r="A92" s="41" t="str">
        <x:v>Contingency</x:v>
      </x:c>
      <x:c r="B92" s="41" t="str">
        <x:v>Apr</x:v>
      </x:c>
      <x:c r="C92" s="43" t="n">
        <x:f>'Summary'!$C$15/12</x:f>
        <x:v>5833.333333333333</x:v>
      </x:c>
      <x:c r="D92" s="41" t="str">
        <x:v>CC-4170</x:v>
      </x:c>
      <x:c r="E92" s="41" t="str">
        <x:v>CFO</x:v>
      </x:c>
      <x:c r="F92" s="41" t="str"/>
    </x:row>
    <x:row r="93">
      <x:c r="A93" s="41" t="str">
        <x:v>Contingency</x:v>
      </x:c>
      <x:c r="B93" s="41" t="str">
        <x:v>May</x:v>
      </x:c>
      <x:c r="C93" s="43" t="n">
        <x:f>'Summary'!$C$15/12</x:f>
        <x:v>5833.333333333333</x:v>
      </x:c>
      <x:c r="D93" s="41" t="str">
        <x:v>CC-4170</x:v>
      </x:c>
      <x:c r="E93" s="41" t="str">
        <x:v>CFO</x:v>
      </x:c>
      <x:c r="F93" s="41" t="str"/>
    </x:row>
    <x:row r="94">
      <x:c r="A94" s="41" t="str">
        <x:v>Contingency</x:v>
      </x:c>
      <x:c r="B94" s="41" t="str">
        <x:v>Jun</x:v>
      </x:c>
      <x:c r="C94" s="43" t="n">
        <x:f>'Summary'!$C$15/12</x:f>
        <x:v>5833.333333333333</x:v>
      </x:c>
      <x:c r="D94" s="41" t="str">
        <x:v>CC-4170</x:v>
      </x:c>
      <x:c r="E94" s="41" t="str">
        <x:v>CFO</x:v>
      </x:c>
      <x:c r="F94" s="41" t="str"/>
    </x:row>
    <x:row r="95">
      <x:c r="A95" s="41" t="str">
        <x:v>Contingency</x:v>
      </x:c>
      <x:c r="B95" s="41" t="str">
        <x:v>Jul</x:v>
      </x:c>
      <x:c r="C95" s="43" t="n">
        <x:f>'Summary'!$C$15/12</x:f>
        <x:v>5833.333333333333</x:v>
      </x:c>
      <x:c r="D95" s="41" t="str">
        <x:v>CC-4170</x:v>
      </x:c>
      <x:c r="E95" s="41" t="str">
        <x:v>CFO</x:v>
      </x:c>
      <x:c r="F95" s="41" t="str"/>
    </x:row>
    <x:row r="96">
      <x:c r="A96" s="41" t="str">
        <x:v>Contingency</x:v>
      </x:c>
      <x:c r="B96" s="41" t="str">
        <x:v>Aug</x:v>
      </x:c>
      <x:c r="C96" s="43" t="n">
        <x:f>'Summary'!$C$15/12</x:f>
        <x:v>5833.333333333333</x:v>
      </x:c>
      <x:c r="D96" s="41" t="str">
        <x:v>CC-4170</x:v>
      </x:c>
      <x:c r="E96" s="41" t="str">
        <x:v>CFO</x:v>
      </x:c>
      <x:c r="F96" s="41" t="str"/>
    </x:row>
    <x:row r="97">
      <x:c r="A97" s="41" t="str">
        <x:v>Contingency</x:v>
      </x:c>
      <x:c r="B97" s="41" t="str">
        <x:v>Sep</x:v>
      </x:c>
      <x:c r="C97" s="43" t="n">
        <x:f>'Summary'!$C$15/12</x:f>
        <x:v>5833.333333333333</x:v>
      </x:c>
      <x:c r="D97" s="41" t="str">
        <x:v>CC-4170</x:v>
      </x:c>
      <x:c r="E97" s="41" t="str">
        <x:v>CFO</x:v>
      </x:c>
      <x:c r="F97" s="41" t="str"/>
    </x:row>
    <x:row r="98">
      <x:c r="A98" s="41" t="str">
        <x:v>Contingency</x:v>
      </x:c>
      <x:c r="B98" s="41" t="str">
        <x:v>Oct</x:v>
      </x:c>
      <x:c r="C98" s="43" t="n">
        <x:f>'Summary'!$C$15/12</x:f>
        <x:v>5833.333333333333</x:v>
      </x:c>
      <x:c r="D98" s="41" t="str">
        <x:v>CC-4170</x:v>
      </x:c>
      <x:c r="E98" s="41" t="str">
        <x:v>CFO</x:v>
      </x:c>
      <x:c r="F98" s="41" t="str"/>
    </x:row>
    <x:row r="99">
      <x:c r="A99" s="41" t="str">
        <x:v>Contingency</x:v>
      </x:c>
      <x:c r="B99" s="41" t="str">
        <x:v>Nov</x:v>
      </x:c>
      <x:c r="C99" s="43" t="n">
        <x:f>'Summary'!$C$15/12</x:f>
        <x:v>5833.333333333333</x:v>
      </x:c>
      <x:c r="D99" s="41" t="str">
        <x:v>CC-4170</x:v>
      </x:c>
      <x:c r="E99" s="41" t="str">
        <x:v>CFO</x:v>
      </x:c>
      <x:c r="F99" s="41" t="str"/>
    </x:row>
    <x:row r="100">
      <x:c r="A100" s="41" t="str">
        <x:v>Contingency</x:v>
      </x:c>
      <x:c r="B100" s="41" t="str">
        <x:v>Dec</x:v>
      </x:c>
      <x:c r="C100" s="43" t="n">
        <x:f>'Summary'!$C$15/12</x:f>
        <x:v>5833.333333333333</x:v>
      </x:c>
      <x:c r="D100" s="41" t="str">
        <x:v>CC-4170</x:v>
      </x:c>
      <x:c r="E100" s="41" t="str">
        <x:v>CFO</x:v>
      </x:c>
      <x:c r="F100" s="41" t="str"/>
    </x:row>
    <x:row r="101">
      <x:c r="A101" s="37" t="str">
        <x:v>TOTAL</x:v>
      </x:c>
      <x:c r="B101" s="37"/>
      <x:c r="C101" s="44" t="n">
        <x:f>SUM(C5:C100)</x:f>
        <x:v>1279999.999999999</x:v>
      </x:c>
      <x:c r="D101" s="37"/>
      <x:c r="E101" s="37"/>
      <x:c r="F101" s="37"/>
    </x:row>
  </x:sheetData>
  <x:mergeCells>
    <x:mergeCell ref="A1:F1"/>
    <x:mergeCell ref="A2:F2"/>
    <x:mergeCell ref="A101:B10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2" hidden="0" customWidth="1"/>
    <x:col min="5" max="5" width="34" hidden="0" customWidth="1"/>
    <x:col min="6" max="6" width="13" hidden="0" customWidth="1"/>
    <x:col min="7" max="7" width="14" hidden="0" customWidth="1"/>
    <x:col min="8" max="8" width="17" hidden="0" customWidth="1"/>
    <x:col min="9" max="9" width="20" hidden="0" customWidth="1"/>
    <x:col min="10" max="10" width="28" hidden="0" customWidth="1"/>
  </x:cols>
  <x:sheetData>
    <x:row r="1" ht="30" customHeight="1">
      <x:c r="A1" s="42" t="str">
        <x:v>YTD Actual Transactions</x:v>
      </x:c>
      <x:c r="B1" s="30"/>
      <x:c r="C1" s="30"/>
      <x:c r="D1" s="30"/>
      <x:c r="E1" s="30"/>
      <x:c r="F1" s="30"/>
      <x:c r="G1" s="30"/>
      <x:c r="H1" s="30"/>
      <x:c r="I1" s="30"/>
      <x:c r="J1" s="30"/>
    </x:row>
    <x:row r="2" ht="24" customHeight="1">
      <x:c r="A2" s="31" t="str">
        <x:v>Illustrative transactions through April 2026; source: fictional general-ledger extract</x:v>
      </x:c>
      <x:c r="B2" s="30"/>
      <x:c r="C2" s="30"/>
      <x:c r="D2" s="30"/>
      <x:c r="E2" s="30"/>
      <x:c r="F2" s="30"/>
      <x:c r="G2" s="30"/>
      <x:c r="H2" s="30"/>
      <x:c r="I2" s="30"/>
      <x:c r="J2" s="30"/>
    </x:row>
    <x:row r="3">
      <x:c r="A3" s="30"/>
      <x:c r="B3" s="30"/>
      <x:c r="C3" s="30"/>
      <x:c r="D3" s="30"/>
      <x:c r="E3" s="30"/>
      <x:c r="F3" s="30"/>
      <x:c r="G3" s="30"/>
      <x:c r="H3" s="30"/>
      <x:c r="I3" s="30"/>
      <x:c r="J3" s="30"/>
    </x:row>
    <x:row r="4">
      <x:c r="A4" s="34" t="str">
        <x:v>Date</x:v>
      </x:c>
      <x:c r="B4" s="34" t="str">
        <x:v>Transaction ID</x:v>
      </x:c>
      <x:c r="C4" s="34" t="str">
        <x:v>Category</x:v>
      </x:c>
      <x:c r="D4" s="34" t="str">
        <x:v>Vendor / Payee</x:v>
      </x:c>
      <x:c r="E4" s="34" t="str">
        <x:v>Description</x:v>
      </x:c>
      <x:c r="F4" s="34" t="str">
        <x:v>Cost Center</x:v>
      </x:c>
      <x:c r="G4" s="34" t="str">
        <x:v>Amount</x:v>
      </x:c>
      <x:c r="H4" s="34" t="str">
        <x:v>Form / PO</x:v>
      </x:c>
      <x:c r="I4" s="34" t="str">
        <x:v>Approver</x:v>
      </x:c>
      <x:c r="J4" s="34" t="str">
        <x:v>Policy Note</x:v>
      </x:c>
    </x:row>
    <x:row r="5">
      <x:c r="A5" s="45" t="str">
        <x:v>2026-01-31</x:v>
      </x:c>
      <x:c r="B5" s="41" t="str">
        <x:v>TX-260101</x:v>
      </x:c>
      <x:c r="C5" s="41" t="str">
        <x:v>People</x:v>
      </x:c>
      <x:c r="D5" s="41" t="str">
        <x:v>Northstar Payroll</x:v>
      </x:c>
      <x:c r="E5" s="41" t="str">
        <x:v>January payroll and employer costs</x:v>
      </x:c>
      <x:c r="F5" s="41" t="str">
        <x:v>CC-4100</x:v>
      </x:c>
      <x:c r="G5" s="46" t="n">
        <x:v>39500</x:v>
      </x:c>
      <x:c r="H5" s="41" t="str">
        <x:v>Payroll register</x:v>
      </x:c>
      <x:c r="I5" s="41" t="str">
        <x:v>VP People</x:v>
      </x:c>
      <x:c r="J5" s="41" t="str">
        <x:v>Recurring payroll</x:v>
      </x:c>
    </x:row>
    <x:row r="6">
      <x:c r="A6" s="45" t="str">
        <x:v>2026-02-28</x:v>
      </x:c>
      <x:c r="B6" s="41" t="str">
        <x:v>TX-260202</x:v>
      </x:c>
      <x:c r="C6" s="41" t="str">
        <x:v>People</x:v>
      </x:c>
      <x:c r="D6" s="41" t="str">
        <x:v>Northstar Payroll</x:v>
      </x:c>
      <x:c r="E6" s="41" t="str">
        <x:v>February payroll and employer costs</x:v>
      </x:c>
      <x:c r="F6" s="41" t="str">
        <x:v>CC-4100</x:v>
      </x:c>
      <x:c r="G6" s="46" t="n">
        <x:v>40200</x:v>
      </x:c>
      <x:c r="H6" s="41" t="str">
        <x:v>Payroll register</x:v>
      </x:c>
      <x:c r="I6" s="41" t="str">
        <x:v>VP People</x:v>
      </x:c>
      <x:c r="J6" s="41" t="str">
        <x:v>Recurring payroll</x:v>
      </x:c>
    </x:row>
    <x:row r="7">
      <x:c r="A7" s="45" t="str">
        <x:v>2026-03-31</x:v>
      </x:c>
      <x:c r="B7" s="41" t="str">
        <x:v>TX-260303</x:v>
      </x:c>
      <x:c r="C7" s="41" t="str">
        <x:v>People</x:v>
      </x:c>
      <x:c r="D7" s="41" t="str">
        <x:v>Northstar Payroll</x:v>
      </x:c>
      <x:c r="E7" s="41" t="str">
        <x:v>March payroll and employer costs</x:v>
      </x:c>
      <x:c r="F7" s="41" t="str">
        <x:v>CC-4100</x:v>
      </x:c>
      <x:c r="G7" s="46" t="n">
        <x:v>39800</x:v>
      </x:c>
      <x:c r="H7" s="41" t="str">
        <x:v>Payroll register</x:v>
      </x:c>
      <x:c r="I7" s="41" t="str">
        <x:v>VP People</x:v>
      </x:c>
      <x:c r="J7" s="41" t="str">
        <x:v>Recurring payroll</x:v>
      </x:c>
    </x:row>
    <x:row r="8">
      <x:c r="A8" s="45" t="str">
        <x:v>2026-04-30</x:v>
      </x:c>
      <x:c r="B8" s="41" t="str">
        <x:v>TX-260404</x:v>
      </x:c>
      <x:c r="C8" s="41" t="str">
        <x:v>People</x:v>
      </x:c>
      <x:c r="D8" s="41" t="str">
        <x:v>Northstar Payroll</x:v>
      </x:c>
      <x:c r="E8" s="41" t="str">
        <x:v>April payroll and employer costs</x:v>
      </x:c>
      <x:c r="F8" s="41" t="str">
        <x:v>CC-4100</x:v>
      </x:c>
      <x:c r="G8" s="46" t="n">
        <x:v>40500</x:v>
      </x:c>
      <x:c r="H8" s="41" t="str">
        <x:v>Payroll register</x:v>
      </x:c>
      <x:c r="I8" s="41" t="str">
        <x:v>VP People</x:v>
      </x:c>
      <x:c r="J8" s="41" t="str">
        <x:v>Recurring payroll</x:v>
      </x:c>
    </x:row>
    <x:row r="9">
      <x:c r="A9" s="45" t="str">
        <x:v>2026-01-18</x:v>
      </x:c>
      <x:c r="B9" s="41" t="str">
        <x:v>TX-260105</x:v>
      </x:c>
      <x:c r="C9" s="41" t="str">
        <x:v>Travel</x:v>
      </x:c>
      <x:c r="D9" s="41" t="str">
        <x:v>Skyline Air</x:v>
      </x:c>
      <x:c r="E9" s="41" t="str">
        <x:v>Customer implementation travel</x:v>
      </x:c>
      <x:c r="F9" s="41" t="str">
        <x:v>CC-4110</x:v>
      </x:c>
      <x:c r="G9" s="46" t="n">
        <x:v>7800</x:v>
      </x:c>
      <x:c r="H9" s="41" t="str">
        <x:v>FIN-204</x:v>
      </x:c>
      <x:c r="I9" s="41" t="str">
        <x:v>VP Operations</x:v>
      </x:c>
      <x:c r="J9" s="41" t="str">
        <x:v>Economy airfare</x:v>
      </x:c>
    </x:row>
    <x:row r="10">
      <x:c r="A10" s="45" t="str">
        <x:v>2026-02-14</x:v>
      </x:c>
      <x:c r="B10" s="41" t="str">
        <x:v>TX-260208</x:v>
      </x:c>
      <x:c r="C10" s="41" t="str">
        <x:v>Travel</x:v>
      </x:c>
      <x:c r="D10" s="41" t="str">
        <x:v>Harbor Hotel</x:v>
      </x:c>
      <x:c r="E10" s="41" t="str">
        <x:v>Three-night customer workshop</x:v>
      </x:c>
      <x:c r="F10" s="41" t="str">
        <x:v>CC-4110</x:v>
      </x:c>
      <x:c r="G10" s="46" t="n">
        <x:v>4650</x:v>
      </x:c>
      <x:c r="H10" s="41" t="str">
        <x:v>FIN-204</x:v>
      </x:c>
      <x:c r="I10" s="41" t="str">
        <x:v>Director Operations</x:v>
      </x:c>
      <x:c r="J10" s="41" t="str">
        <x:v>City cap applied</x:v>
      </x:c>
    </x:row>
    <x:row r="11">
      <x:c r="A11" s="45" t="str">
        <x:v>2026-03-09</x:v>
      </x:c>
      <x:c r="B11" s="41" t="str">
        <x:v>TX-260310</x:v>
      </x:c>
      <x:c r="C11" s="41" t="str">
        <x:v>Travel</x:v>
      </x:c>
      <x:c r="D11" s="41" t="str">
        <x:v>Metro Rail</x:v>
      </x:c>
      <x:c r="E11" s="41" t="str">
        <x:v>Regional partner meetings</x:v>
      </x:c>
      <x:c r="F11" s="41" t="str">
        <x:v>CC-4110</x:v>
      </x:c>
      <x:c r="G11" s="46" t="n">
        <x:v>2950</x:v>
      </x:c>
      <x:c r="H11" s="41" t="str">
        <x:v>FIN-204</x:v>
      </x:c>
      <x:c r="I11" s="41" t="str">
        <x:v>Director Operations</x:v>
      </x:c>
      <x:c r="J11" s="41" t="str">
        <x:v>Standard rail</x:v>
      </x:c>
    </x:row>
    <x:row r="12">
      <x:c r="A12" s="45" t="str">
        <x:v>2026-04-22</x:v>
      </x:c>
      <x:c r="B12" s="41" t="str">
        <x:v>TX-260417</x:v>
      </x:c>
      <x:c r="C12" s="41" t="str">
        <x:v>Travel</x:v>
      </x:c>
      <x:c r="D12" s="41" t="str">
        <x:v>Employee reimbursements</x:v>
      </x:c>
      <x:c r="E12" s="41" t="str">
        <x:v>Quarterly onsite meals and transport</x:v>
      </x:c>
      <x:c r="F12" s="41" t="str">
        <x:v>CC-4110</x:v>
      </x:c>
      <x:c r="G12" s="46" t="n">
        <x:v>6200</x:v>
      </x:c>
      <x:c r="H12" s="41" t="str">
        <x:v>FIN-204</x:v>
      </x:c>
      <x:c r="I12" s="41" t="str">
        <x:v>VP Operations</x:v>
      </x:c>
      <x:c r="J12" s="41" t="str">
        <x:v>Receipts attached</x:v>
      </x:c>
    </x:row>
    <x:row r="13">
      <x:c r="A13" s="45" t="str">
        <x:v>2026-01-05</x:v>
      </x:c>
      <x:c r="B13" s="41" t="str">
        <x:v>TX-260111</x:v>
      </x:c>
      <x:c r="C13" s="41" t="str">
        <x:v>Software</x:v>
      </x:c>
      <x:c r="D13" s="41" t="str">
        <x:v>CloudCompute</x:v>
      </x:c>
      <x:c r="E13" s="41" t="str">
        <x:v>Development cloud services</x:v>
      </x:c>
      <x:c r="F13" s="41" t="str">
        <x:v>CC-4120</x:v>
      </x:c>
      <x:c r="G13" s="46" t="n">
        <x:v>15100</x:v>
      </x:c>
      <x:c r="H13" s="41" t="str">
        <x:v>PO-26001</x:v>
      </x:c>
      <x:c r="I13" s="41" t="str">
        <x:v>CTO</x:v>
      </x:c>
      <x:c r="J13" s="41" t="str">
        <x:v>Annual contract monthly charge</x:v>
      </x:c>
    </x:row>
    <x:row r="14">
      <x:c r="A14" s="45" t="str">
        <x:v>2026-02-05</x:v>
      </x:c>
      <x:c r="B14" s="41" t="str">
        <x:v>TX-260212</x:v>
      </x:c>
      <x:c r="C14" s="41" t="str">
        <x:v>Software</x:v>
      </x:c>
      <x:c r="D14" s="41" t="str">
        <x:v>CloudCompute</x:v>
      </x:c>
      <x:c r="E14" s="41" t="str">
        <x:v>Development cloud services</x:v>
      </x:c>
      <x:c r="F14" s="41" t="str">
        <x:v>CC-4120</x:v>
      </x:c>
      <x:c r="G14" s="46" t="n">
        <x:v>15800</x:v>
      </x:c>
      <x:c r="H14" s="41" t="str">
        <x:v>PO-26001</x:v>
      </x:c>
      <x:c r="I14" s="41" t="str">
        <x:v>CTO</x:v>
      </x:c>
      <x:c r="J14" s="41" t="str">
        <x:v>Usage increase</x:v>
      </x:c>
    </x:row>
    <x:row r="15">
      <x:c r="A15" s="45" t="str">
        <x:v>2026-03-05</x:v>
      </x:c>
      <x:c r="B15" s="41" t="str">
        <x:v>TX-260313</x:v>
      </x:c>
      <x:c r="C15" s="41" t="str">
        <x:v>Software</x:v>
      </x:c>
      <x:c r="D15" s="41" t="str">
        <x:v>SecureWorks</x:v>
      </x:c>
      <x:c r="E15" s="41" t="str">
        <x:v>Security monitoring subscription</x:v>
      </x:c>
      <x:c r="F15" s="41" t="str">
        <x:v>CC-4120</x:v>
      </x:c>
      <x:c r="G15" s="46" t="n">
        <x:v>11200</x:v>
      </x:c>
      <x:c r="H15" s="41" t="str">
        <x:v>PO-26018</x:v>
      </x:c>
      <x:c r="I15" s="41" t="str">
        <x:v>CTO</x:v>
      </x:c>
      <x:c r="J15" s="41" t="str">
        <x:v>Security service</x:v>
      </x:c>
    </x:row>
    <x:row r="16">
      <x:c r="A16" s="45" t="str">
        <x:v>2026-04-05</x:v>
      </x:c>
      <x:c r="B16" s="41" t="str">
        <x:v>TX-260414</x:v>
      </x:c>
      <x:c r="C16" s="41" t="str">
        <x:v>Software</x:v>
      </x:c>
      <x:c r="D16" s="41" t="str">
        <x:v>CollabSuite</x:v>
      </x:c>
      <x:c r="E16" s="41" t="str">
        <x:v>Collaboration licenses</x:v>
      </x:c>
      <x:c r="F16" s="41" t="str">
        <x:v>CC-4120</x:v>
      </x:c>
      <x:c r="G16" s="46" t="n">
        <x:v>12900</x:v>
      </x:c>
      <x:c r="H16" s="41" t="str">
        <x:v>PO-26024</x:v>
      </x:c>
      <x:c r="I16" s="41" t="str">
        <x:v>VP Technology</x:v>
      </x:c>
      <x:c r="J16" s="41" t="str">
        <x:v>License renewal</x:v>
      </x:c>
    </x:row>
    <x:row r="17">
      <x:c r="A17" s="45" t="str">
        <x:v>2026-01-02</x:v>
      </x:c>
      <x:c r="B17" s="41" t="str">
        <x:v>TX-260121</x:v>
      </x:c>
      <x:c r="C17" s="41" t="str">
        <x:v>Facilities</x:v>
      </x:c>
      <x:c r="D17" s="41" t="str">
        <x:v>Riverside Properties</x:v>
      </x:c>
      <x:c r="E17" s="41" t="str">
        <x:v>January office lease</x:v>
      </x:c>
      <x:c r="F17" s="41" t="str">
        <x:v>CC-4130</x:v>
      </x:c>
      <x:c r="G17" s="46" t="n">
        <x:v>12300</x:v>
      </x:c>
      <x:c r="H17" s="41" t="str">
        <x:v>Lease</x:v>
      </x:c>
      <x:c r="I17" s="41" t="str">
        <x:v>COO</x:v>
      </x:c>
      <x:c r="J17" s="41" t="str">
        <x:v>Contracted rent</x:v>
      </x:c>
    </x:row>
    <x:row r="18">
      <x:c r="A18" s="45" t="str">
        <x:v>2026-02-02</x:v>
      </x:c>
      <x:c r="B18" s="41" t="str">
        <x:v>TX-260222</x:v>
      </x:c>
      <x:c r="C18" s="41" t="str">
        <x:v>Facilities</x:v>
      </x:c>
      <x:c r="D18" s="41" t="str">
        <x:v>Riverside Properties</x:v>
      </x:c>
      <x:c r="E18" s="41" t="str">
        <x:v>February office lease</x:v>
      </x:c>
      <x:c r="F18" s="41" t="str">
        <x:v>CC-4130</x:v>
      </x:c>
      <x:c r="G18" s="46" t="n">
        <x:v>12300</x:v>
      </x:c>
      <x:c r="H18" s="41" t="str">
        <x:v>Lease</x:v>
      </x:c>
      <x:c r="I18" s="41" t="str">
        <x:v>COO</x:v>
      </x:c>
      <x:c r="J18" s="41" t="str">
        <x:v>Contracted rent</x:v>
      </x:c>
    </x:row>
    <x:row r="19">
      <x:c r="A19" s="45" t="str">
        <x:v>2026-03-02</x:v>
      </x:c>
      <x:c r="B19" s="41" t="str">
        <x:v>TX-260323</x:v>
      </x:c>
      <x:c r="C19" s="41" t="str">
        <x:v>Facilities</x:v>
      </x:c>
      <x:c r="D19" s="41" t="str">
        <x:v>Riverside Properties</x:v>
      </x:c>
      <x:c r="E19" s="41" t="str">
        <x:v>March office lease</x:v>
      </x:c>
      <x:c r="F19" s="41" t="str">
        <x:v>CC-4130</x:v>
      </x:c>
      <x:c r="G19" s="46" t="n">
        <x:v>12300</x:v>
      </x:c>
      <x:c r="H19" s="41" t="str">
        <x:v>Lease</x:v>
      </x:c>
      <x:c r="I19" s="41" t="str">
        <x:v>COO</x:v>
      </x:c>
      <x:c r="J19" s="41" t="str">
        <x:v>Contracted rent</x:v>
      </x:c>
    </x:row>
    <x:row r="20">
      <x:c r="A20" s="45" t="str">
        <x:v>2026-04-02</x:v>
      </x:c>
      <x:c r="B20" s="41" t="str">
        <x:v>TX-260424</x:v>
      </x:c>
      <x:c r="C20" s="41" t="str">
        <x:v>Facilities</x:v>
      </x:c>
      <x:c r="D20" s="41" t="str">
        <x:v>Riverside Properties</x:v>
      </x:c>
      <x:c r="E20" s="41" t="str">
        <x:v>April office lease</x:v>
      </x:c>
      <x:c r="F20" s="41" t="str">
        <x:v>CC-4130</x:v>
      </x:c>
      <x:c r="G20" s="46" t="n">
        <x:v>12300</x:v>
      </x:c>
      <x:c r="H20" s="41" t="str">
        <x:v>Lease</x:v>
      </x:c>
      <x:c r="I20" s="41" t="str">
        <x:v>COO</x:v>
      </x:c>
      <x:c r="J20" s="41" t="str">
        <x:v>Contracted rent</x:v>
      </x:c>
    </x:row>
    <x:row r="21">
      <x:c r="A21" s="45" t="str">
        <x:v>2026-01-26</x:v>
      </x:c>
      <x:c r="B21" s="41" t="str">
        <x:v>TX-260131</x:v>
      </x:c>
      <x:c r="C21" s="41" t="str">
        <x:v>Professional Services</x:v>
      </x:c>
      <x:c r="D21" s="41" t="str">
        <x:v>Summit Legal</x:v>
      </x:c>
      <x:c r="E21" s="41" t="str">
        <x:v>Commercial contract support</x:v>
      </x:c>
      <x:c r="F21" s="41" t="str">
        <x:v>CC-4140</x:v>
      </x:c>
      <x:c r="G21" s="46" t="n">
        <x:v>7600</x:v>
      </x:c>
      <x:c r="H21" s="41" t="str">
        <x:v>PO-26007</x:v>
      </x:c>
      <x:c r="I21" s="41" t="str">
        <x:v>General Counsel</x:v>
      </x:c>
      <x:c r="J21" s="41" t="str">
        <x:v>Outside counsel</x:v>
      </x:c>
    </x:row>
    <x:row r="22">
      <x:c r="A22" s="45" t="str">
        <x:v>2026-03-28</x:v>
      </x:c>
      <x:c r="B22" s="41" t="str">
        <x:v>TX-260332</x:v>
      </x:c>
      <x:c r="C22" s="41" t="str">
        <x:v>Professional Services</x:v>
      </x:c>
      <x:c r="D22" s="41" t="str">
        <x:v>Clearview Audit</x:v>
      </x:c>
      <x:c r="E22" s="41" t="str">
        <x:v>Annual audit planning</x:v>
      </x:c>
      <x:c r="F22" s="41" t="str">
        <x:v>CC-4140</x:v>
      </x:c>
      <x:c r="G22" s="46" t="n">
        <x:v>9800</x:v>
      </x:c>
      <x:c r="H22" s="41" t="str">
        <x:v>PO-26021</x:v>
      </x:c>
      <x:c r="I22" s="41" t="str">
        <x:v>Controller</x:v>
      </x:c>
      <x:c r="J22" s="41" t="str">
        <x:v>Audit services</x:v>
      </x:c>
    </x:row>
    <x:row r="23">
      <x:c r="A23" s="45" t="str">
        <x:v>2026-02-11</x:v>
      </x:c>
      <x:c r="B23" s="41" t="str">
        <x:v>TX-260241</x:v>
      </x:c>
      <x:c r="C23" s="41" t="str">
        <x:v>Marketing</x:v>
      </x:c>
      <x:c r="D23" s="41" t="str">
        <x:v>LaunchWorks</x:v>
      </x:c>
      <x:c r="E23" s="41" t="str">
        <x:v>Product campaign assets</x:v>
      </x:c>
      <x:c r="F23" s="41" t="str">
        <x:v>CC-4150</x:v>
      </x:c>
      <x:c r="G23" s="46" t="n">
        <x:v>16500</x:v>
      </x:c>
      <x:c r="H23" s="41" t="str">
        <x:v>PO-26012</x:v>
      </x:c>
      <x:c r="I23" s="41" t="str">
        <x:v>VP Marketing</x:v>
      </x:c>
      <x:c r="J23" s="41" t="str">
        <x:v>Campaign production</x:v>
      </x:c>
    </x:row>
    <x:row r="24">
      <x:c r="A24" s="45" t="str">
        <x:v>2026-04-18</x:v>
      </x:c>
      <x:c r="B24" s="41" t="str">
        <x:v>TX-260442</x:v>
      </x:c>
      <x:c r="C24" s="41" t="str">
        <x:v>Marketing</x:v>
      </x:c>
      <x:c r="D24" s="41" t="str">
        <x:v>Event Hall</x:v>
      </x:c>
      <x:c r="E24" s="41" t="str">
        <x:v>Customer forum deposit</x:v>
      </x:c>
      <x:c r="F24" s="41" t="str">
        <x:v>CC-4150</x:v>
      </x:c>
      <x:c r="G24" s="46" t="n">
        <x:v>10200</x:v>
      </x:c>
      <x:c r="H24" s="41" t="str">
        <x:v>PO-26028</x:v>
      </x:c>
      <x:c r="I24" s="41" t="str">
        <x:v>VP Marketing</x:v>
      </x:c>
      <x:c r="J24" s="41" t="str">
        <x:v>Approved event</x:v>
      </x:c>
    </x:row>
    <x:row r="25">
      <x:c r="A25" s="45" t="str">
        <x:v>2026-03-15</x:v>
      </x:c>
      <x:c r="B25" s="41" t="str">
        <x:v>TX-260351</x:v>
      </x:c>
      <x:c r="C25" s="41" t="str">
        <x:v>Learning</x:v>
      </x:c>
      <x:c r="D25" s="41" t="str">
        <x:v>Technical Academy</x:v>
      </x:c>
      <x:c r="E25" s="41" t="str">
        <x:v>Cloud certification cohort</x:v>
      </x:c>
      <x:c r="F25" s="41" t="str">
        <x:v>CC-4160</x:v>
      </x:c>
      <x:c r="G25" s="46" t="n">
        <x:v>7200</x:v>
      </x:c>
      <x:c r="H25" s="41" t="str">
        <x:v>Learning approvals</x:v>
      </x:c>
      <x:c r="I25" s="41" t="str">
        <x:v>VP People</x:v>
      </x:c>
      <x:c r="J25" s="41" t="str">
        <x:v>Role-related development</x:v>
      </x:c>
    </x:row>
    <x:row r="26">
      <x:c r="A26" s="45" t="str">
        <x:v>2026-04-29</x:v>
      </x:c>
      <x:c r="B26" s="41" t="str">
        <x:v>TX-260452</x:v>
      </x:c>
      <x:c r="C26" s="41" t="str">
        <x:v>Contingency</x:v>
      </x:c>
      <x:c r="D26" s="41" t="str">
        <x:v>Emergency Repairs</x:v>
      </x:c>
      <x:c r="E26" s="41" t="str">
        <x:v>Server-room cooling repair</x:v>
      </x:c>
      <x:c r="F26" s="41" t="str">
        <x:v>CC-4170</x:v>
      </x:c>
      <x:c r="G26" s="46" t="n">
        <x:v>11500</x:v>
      </x:c>
      <x:c r="H26" s="41" t="str">
        <x:v>FIN-205</x:v>
      </x:c>
      <x:c r="I26" s="41" t="str">
        <x:v>CFO</x:v>
      </x:c>
      <x:c r="J26" s="41" t="str">
        <x:v>Urgent approved exception</x:v>
      </x:c>
    </x:row>
  </x:sheetData>
  <x:mergeCells>
    <x:mergeCell ref="A1:J1"/>
    <x:mergeCell ref="A2:J2"/>
  </x:mergeCells>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20" hidden="0" customWidth="1"/>
    <x:col min="3" max="3" width="24" hidden="0" customWidth="1"/>
    <x:col min="4" max="4" width="38" hidden="0" customWidth="1"/>
    <x:col min="5" max="5" width="26" hidden="0" customWidth="1"/>
    <x:col min="6" max="6" width="26" hidden="0" customWidth="1"/>
  </x:cols>
  <x:sheetData>
    <x:row r="1" ht="30" customHeight="1">
      <x:c r="A1" s="42" t="str">
        <x:v>Budget and Spending Rules</x:v>
      </x:c>
      <x:c r="B1" s="30"/>
      <x:c r="C1" s="30"/>
      <x:c r="D1" s="30"/>
      <x:c r="E1" s="30"/>
      <x:c r="F1" s="30"/>
    </x:row>
    <x:row r="2" ht="24" customHeight="1">
      <x:c r="A2" s="31" t="str">
        <x:v>Reference rules for interpreting this workbook; the detailed Expense and Travel Policy controls</x:v>
      </x:c>
      <x:c r="B2" s="30"/>
      <x:c r="C2" s="30"/>
      <x:c r="D2" s="30"/>
      <x:c r="E2" s="30"/>
      <x:c r="F2" s="30"/>
    </x:row>
    <x:row r="3">
      <x:c r="A3" s="30"/>
      <x:c r="B3" s="30"/>
      <x:c r="C3" s="30"/>
      <x:c r="D3" s="30"/>
      <x:c r="E3" s="30"/>
      <x:c r="F3" s="30"/>
    </x:row>
    <x:row r="4">
      <x:c r="A4" s="34" t="str">
        <x:v>Rule ID</x:v>
      </x:c>
      <x:c r="B4" s="34" t="str">
        <x:v>Topic</x:v>
      </x:c>
      <x:c r="C4" s="34" t="str">
        <x:v>Threshold / timing</x:v>
      </x:c>
      <x:c r="D4" s="34" t="str">
        <x:v>Required action</x:v>
      </x:c>
      <x:c r="E4" s="34" t="str">
        <x:v>Approver</x:v>
      </x:c>
      <x:c r="F4" s="34" t="str">
        <x:v>Reference</x:v>
      </x:c>
    </x:row>
    <x:row r="5">
      <x:c r="A5" s="41" t="str">
        <x:v>BUD-01</x:v>
      </x:c>
      <x:c r="B5" s="41" t="str">
        <x:v>Budget ownership</x:v>
      </x:c>
      <x:c r="C5" s="41" t="str">
        <x:v>All spending</x:v>
      </x:c>
      <x:c r="D5" s="41" t="str">
        <x:v>Charge the correct cost center and confirm available budget</x:v>
      </x:c>
      <x:c r="E5" s="41" t="str">
        <x:v>Cost-center owner</x:v>
      </x:c>
      <x:c r="F5" s="41" t="str">
        <x:v>FY2026 budget</x:v>
      </x:c>
    </x:row>
    <x:row r="6">
      <x:c r="A6" s="41" t="str">
        <x:v>BUD-02</x:v>
      </x:c>
      <x:c r="B6" s="41" t="str">
        <x:v>Travel report</x:v>
      </x:c>
      <x:c r="C6" s="41" t="str">
        <x:v>Within 10 business days after trip</x:v>
      </x:c>
      <x:c r="D6" s="41" t="str">
        <x:v>Submit FIN-204 with receipts and business purpose</x:v>
      </x:c>
      <x:c r="E6" s="41" t="str">
        <x:v>Manager</x:v>
      </x:c>
      <x:c r="F6" s="41" t="str">
        <x:v>Expense Policy section 3</x:v>
      </x:c>
    </x:row>
    <x:row r="7">
      <x:c r="A7" s="41" t="str">
        <x:v>BUD-03</x:v>
      </x:c>
      <x:c r="B7" s="41" t="str">
        <x:v>Travel meals</x:v>
      </x:c>
      <x:c r="C7" s="41" t="str">
        <x:v>USD 150 per traveler per day</x:v>
      </x:c>
      <x:c r="D7" s="41" t="str">
        <x:v>Claim actual cost; FIN-205 for an exception</x:v>
      </x:c>
      <x:c r="E7" s="41" t="str">
        <x:v>Manager and Finance</x:v>
      </x:c>
      <x:c r="F7" s="41" t="str">
        <x:v>Expense Policy section 5</x:v>
      </x:c>
    </x:row>
    <x:row r="8">
      <x:c r="A8" s="41" t="str">
        <x:v>BUD-04</x:v>
      </x:c>
      <x:c r="B8" s="41" t="str">
        <x:v>Purchase up to USD 1,000</x:v>
      </x:c>
      <x:c r="C8" s="41" t="str">
        <x:v>Per report or transaction</x:v>
      </x:c>
      <x:c r="D8" s="41" t="str">
        <x:v>Normal manager approval</x:v>
      </x:c>
      <x:c r="E8" s="41" t="str">
        <x:v>Manager</x:v>
      </x:c>
      <x:c r="F8" s="41" t="str">
        <x:v>Expense Policy section 7</x:v>
      </x:c>
    </x:row>
    <x:row r="9">
      <x:c r="A9" s="41" t="str">
        <x:v>BUD-05</x:v>
      </x:c>
      <x:c r="B9" s="41" t="str">
        <x:v>Purchase USD 1,000.01-5,000</x:v>
      </x:c>
      <x:c r="C9" s="41" t="str">
        <x:v>Per report or transaction</x:v>
      </x:c>
      <x:c r="D9" s="41" t="str">
        <x:v>Confirm budget and business purpose</x:v>
      </x:c>
      <x:c r="E9" s="41" t="str">
        <x:v>Manager and director</x:v>
      </x:c>
      <x:c r="F9" s="41" t="str">
        <x:v>Expense Policy section 7</x:v>
      </x:c>
    </x:row>
    <x:row r="10">
      <x:c r="A10" s="41" t="str">
        <x:v>BUD-06</x:v>
      </x:c>
      <x:c r="B10" s="41" t="str">
        <x:v>Purchase USD 5,000.01-25,000</x:v>
      </x:c>
      <x:c r="C10" s="41" t="str">
        <x:v>Per report or transaction</x:v>
      </x:c>
      <x:c r="D10" s="41" t="str">
        <x:v>Finance review required</x:v>
      </x:c>
      <x:c r="E10" s="41" t="str">
        <x:v>VP and Controller</x:v>
      </x:c>
      <x:c r="F10" s="41" t="str">
        <x:v>Expense Policy section 7</x:v>
      </x:c>
    </x:row>
    <x:row r="11">
      <x:c r="A11" s="41" t="str">
        <x:v>BUD-07</x:v>
      </x:c>
      <x:c r="B11" s="41" t="str">
        <x:v>Purchase above USD 25,000</x:v>
      </x:c>
      <x:c r="C11" s="41" t="str">
        <x:v>Per report or transaction</x:v>
      </x:c>
      <x:c r="D11" s="41" t="str">
        <x:v>Executive and procurement review</x:v>
      </x:c>
      <x:c r="E11" s="41" t="str">
        <x:v>Responsible executive and CFO</x:v>
      </x:c>
      <x:c r="F11" s="41" t="str">
        <x:v>Expense Policy section 7</x:v>
      </x:c>
    </x:row>
    <x:row r="12">
      <x:c r="A12" s="41" t="str">
        <x:v>BUD-08</x:v>
      </x:c>
      <x:c r="B12" s="41" t="str">
        <x:v>Budget transfer</x:v>
      </x:c>
      <x:c r="C12" s="41" t="str">
        <x:v>Above USD 10,000 between categories</x:v>
      </x:c>
      <x:c r="D12" s="41" t="str">
        <x:v>Submit documented reforecast request</x:v>
      </x:c>
      <x:c r="E12" s="41" t="str">
        <x:v>FP&amp;A and CFO</x:v>
      </x:c>
      <x:c r="F12" s="41" t="str">
        <x:v>Finance planning rule</x:v>
      </x:c>
    </x:row>
    <x:row r="13">
      <x:c r="A13" s="41" t="str">
        <x:v>BUD-09</x:v>
      </x:c>
      <x:c r="B13" s="41" t="str">
        <x:v>Contingency</x:v>
      </x:c>
      <x:c r="C13" s="41" t="str">
        <x:v>Any amount</x:v>
      </x:c>
      <x:c r="D13" s="41" t="str">
        <x:v>State the unforeseen event; do not fund recurring baseline cost</x:v>
      </x:c>
      <x:c r="E13" s="41" t="str">
        <x:v>CFO</x:v>
      </x:c>
      <x:c r="F13" s="41" t="str">
        <x:v>Summary management note</x:v>
      </x:c>
    </x:row>
    <x:row r="14">
      <x:c r="A14" s="41" t="str">
        <x:v>BUD-10</x:v>
      </x:c>
      <x:c r="B14" s="41" t="str">
        <x:v>Late reimbursement</x:v>
      </x:c>
      <x:c r="C14" s="41" t="str">
        <x:v>More than 60 calendar days</x:v>
      </x:c>
      <x:c r="D14" s="41" t="str">
        <x:v>Tax and Controller review; above 90 days requires CFO</x:v>
      </x:c>
      <x:c r="E14" s="41" t="str">
        <x:v>Controller / CFO</x:v>
      </x:c>
      <x:c r="F14" s="41" t="str">
        <x:v>Expense Policy section 3</x:v>
      </x:c>
    </x:row>
  </x:sheetData>
  <x:mergeCells>
    <x:mergeCell ref="A1:F1"/>
    <x:mergeCell ref="A2:F2"/>
  </x:mergeCells>
  <x:pageMargins left="0.7" right="0.7" top="0.75" bottom="0.75" header="0.3" footer="0.3"/>
</x:worksheet>
</file>